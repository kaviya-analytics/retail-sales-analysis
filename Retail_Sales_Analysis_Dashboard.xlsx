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6E71CA5D-D4B3-4C56-9469-E141B30549DE}" xr6:coauthVersionLast="47" xr6:coauthVersionMax="47" xr10:uidLastSave="{00000000-0000-0000-0000-000000000000}"/>
  <bookViews>
    <workbookView xWindow="-90" yWindow="0" windowWidth="9780" windowHeight="10170" firstSheet="7" activeTab="8" xr2:uid="{67C855F9-C77F-4F92-B6EC-CD6D4A36DF80}"/>
  </bookViews>
  <sheets>
    <sheet name="Raw data" sheetId="1" r:id="rId1"/>
    <sheet name="analysis" sheetId="2" r:id="rId2"/>
    <sheet name="sheet 1" sheetId="3" r:id="rId3"/>
    <sheet name="Sheet 2" sheetId="4" r:id="rId4"/>
    <sheet name="sheet 3" sheetId="5" r:id="rId5"/>
    <sheet name="sheet 4" sheetId="6" r:id="rId6"/>
    <sheet name="sheet 5" sheetId="7" r:id="rId7"/>
    <sheet name="Dashboard" sheetId="8" r:id="rId8"/>
    <sheet name="Insights" sheetId="9" r:id="rId9"/>
  </sheets>
  <definedNames>
    <definedName name="Slicer_payment_method">#N/A</definedName>
    <definedName name="Slicer_product_category">#N/A</definedName>
    <definedName name="Slicer_store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B3" i="2"/>
  <c r="C3" i="2"/>
  <c r="A3" i="2"/>
</calcChain>
</file>

<file path=xl/sharedStrings.xml><?xml version="1.0" encoding="utf-8"?>
<sst xmlns="http://schemas.openxmlformats.org/spreadsheetml/2006/main" count="383" uniqueCount="144">
  <si>
    <t>bill_id</t>
  </si>
  <si>
    <t>customer_name</t>
  </si>
  <si>
    <t>city</t>
  </si>
  <si>
    <t>product_category</t>
  </si>
  <si>
    <t>quantity</t>
  </si>
  <si>
    <t>total_amount</t>
  </si>
  <si>
    <t>payment_method</t>
  </si>
  <si>
    <t>store_type</t>
  </si>
  <si>
    <t>visit_date</t>
  </si>
  <si>
    <t>Rahul Sharma</t>
  </si>
  <si>
    <t>Delhi</t>
  </si>
  <si>
    <t>Grocery</t>
  </si>
  <si>
    <t>UPI</t>
  </si>
  <si>
    <t>Supermarket</t>
  </si>
  <si>
    <t>Priya Verma</t>
  </si>
  <si>
    <t>Mumbai</t>
  </si>
  <si>
    <t>Electronics</t>
  </si>
  <si>
    <t>Credit Card</t>
  </si>
  <si>
    <t>Mall Store</t>
  </si>
  <si>
    <t>Amit Patel</t>
  </si>
  <si>
    <t>Ahmedabad</t>
  </si>
  <si>
    <t>Clothing</t>
  </si>
  <si>
    <t>Neha Singh</t>
  </si>
  <si>
    <t>Lucknow</t>
  </si>
  <si>
    <t>Cash</t>
  </si>
  <si>
    <t>Rohit Kumar</t>
  </si>
  <si>
    <t>Patna</t>
  </si>
  <si>
    <t>Stationery</t>
  </si>
  <si>
    <t>Local Store</t>
  </si>
  <si>
    <t>Anjali Mehta</t>
  </si>
  <si>
    <t>Pune</t>
  </si>
  <si>
    <t>Debit Card</t>
  </si>
  <si>
    <t>Suresh Yadav</t>
  </si>
  <si>
    <t>Jaipur</t>
  </si>
  <si>
    <t>Kavita Joshi</t>
  </si>
  <si>
    <t>Indore</t>
  </si>
  <si>
    <t>Vikas Mishra</t>
  </si>
  <si>
    <t>Bhopal</t>
  </si>
  <si>
    <t>Pooja Agarwal</t>
  </si>
  <si>
    <t>Kolkata</t>
  </si>
  <si>
    <t>Manish Gupta</t>
  </si>
  <si>
    <t>Kanpur</t>
  </si>
  <si>
    <t>Shalini Jain</t>
  </si>
  <si>
    <t>Udaipur</t>
  </si>
  <si>
    <t>Deepak Verma</t>
  </si>
  <si>
    <t>Noida</t>
  </si>
  <si>
    <t>Ritu Saxena</t>
  </si>
  <si>
    <t>Agra</t>
  </si>
  <si>
    <t>Nitin Malhotra</t>
  </si>
  <si>
    <t>Gurgaon</t>
  </si>
  <si>
    <t>Sonal Choudhary</t>
  </si>
  <si>
    <t>Jodhpur</t>
  </si>
  <si>
    <t>Akash Tiwari</t>
  </si>
  <si>
    <t>Rewa</t>
  </si>
  <si>
    <t>Meena Kapoor</t>
  </si>
  <si>
    <t>Chandigarh</t>
  </si>
  <si>
    <t>Kunal Bansal</t>
  </si>
  <si>
    <t>Faridabad</t>
  </si>
  <si>
    <t>Swati Kulkarni</t>
  </si>
  <si>
    <t>Nagpur</t>
  </si>
  <si>
    <t>Rakesh Pandey</t>
  </si>
  <si>
    <t>Varanasi</t>
  </si>
  <si>
    <t>Isha Malviya</t>
  </si>
  <si>
    <t>Ratlam</t>
  </si>
  <si>
    <t>Harsh Vardhan</t>
  </si>
  <si>
    <t>Meerut</t>
  </si>
  <si>
    <t>Namita Arora</t>
  </si>
  <si>
    <t>Amritsar</t>
  </si>
  <si>
    <t>13-01-2025</t>
  </si>
  <si>
    <t>Sachin Deshmukh</t>
  </si>
  <si>
    <t>Nashik</t>
  </si>
  <si>
    <t>Preeti Kulkarni</t>
  </si>
  <si>
    <t>Solapur</t>
  </si>
  <si>
    <t>Mohit Jain</t>
  </si>
  <si>
    <t>Kota</t>
  </si>
  <si>
    <t>14-01-2025</t>
  </si>
  <si>
    <t>Alok Srivastava</t>
  </si>
  <si>
    <t>Prayagraj</t>
  </si>
  <si>
    <t>Sunita Rani</t>
  </si>
  <si>
    <t>Hisar</t>
  </si>
  <si>
    <t>Vinayak Patil</t>
  </si>
  <si>
    <t>Kolhapur</t>
  </si>
  <si>
    <t>15-01-2025</t>
  </si>
  <si>
    <t>Pankaj Sharma</t>
  </si>
  <si>
    <t>Rohtak</t>
  </si>
  <si>
    <t>Ayesha Khan</t>
  </si>
  <si>
    <t>Tushar Goyal</t>
  </si>
  <si>
    <t>Panipat</t>
  </si>
  <si>
    <t>16-01-2025</t>
  </si>
  <si>
    <t>Nisha Bajaj</t>
  </si>
  <si>
    <t>Ludhiana</t>
  </si>
  <si>
    <t>Sandeep Rathore</t>
  </si>
  <si>
    <t>Gwalior</t>
  </si>
  <si>
    <t>Rupal Shah</t>
  </si>
  <si>
    <t>Surat</t>
  </si>
  <si>
    <t>17-01-2025</t>
  </si>
  <si>
    <t>Ajay Thakur</t>
  </si>
  <si>
    <t>Bilaspur</t>
  </si>
  <si>
    <t>Monika Arora</t>
  </si>
  <si>
    <t>Panchkula</t>
  </si>
  <si>
    <t>Prakash Nair</t>
  </si>
  <si>
    <t>Kochi</t>
  </si>
  <si>
    <t>18-01-2025</t>
  </si>
  <si>
    <t>Lata Menon</t>
  </si>
  <si>
    <t>Trivandrum</t>
  </si>
  <si>
    <t>Naveen Reddy</t>
  </si>
  <si>
    <t>Hyderabad</t>
  </si>
  <si>
    <t>Karthik Iyer</t>
  </si>
  <si>
    <t>Chennai</t>
  </si>
  <si>
    <t>19-01-2025</t>
  </si>
  <si>
    <t>Sneha Kulkarni</t>
  </si>
  <si>
    <t>Satara</t>
  </si>
  <si>
    <t>Ramesh Pawar</t>
  </si>
  <si>
    <t>Sangli</t>
  </si>
  <si>
    <t>Divya Joshi</t>
  </si>
  <si>
    <t>Dehradun</t>
  </si>
  <si>
    <t>20-01-2025</t>
  </si>
  <si>
    <t>Arvind Mishra</t>
  </si>
  <si>
    <t>Gorakhpur</t>
  </si>
  <si>
    <t>Bhavesh Modi</t>
  </si>
  <si>
    <t>Rajkot</t>
  </si>
  <si>
    <t>Nandini Rao</t>
  </si>
  <si>
    <t>Bengaluru</t>
  </si>
  <si>
    <t>21-01-2025</t>
  </si>
  <si>
    <t>Sanjay Shetty</t>
  </si>
  <si>
    <t>Mangalore</t>
  </si>
  <si>
    <t>Pritam Das</t>
  </si>
  <si>
    <t>Siliguri</t>
  </si>
  <si>
    <t>Total Orders</t>
  </si>
  <si>
    <t>Total  Quantity sold</t>
  </si>
  <si>
    <t>Average Order Value</t>
  </si>
  <si>
    <t>Total sales</t>
  </si>
  <si>
    <t>Row Labels</t>
  </si>
  <si>
    <t>Grand Total</t>
  </si>
  <si>
    <t>Sum of total_amount</t>
  </si>
  <si>
    <t>Retail Sales Analysis Dashboard</t>
  </si>
  <si>
    <t>Key Business Insights</t>
  </si>
  <si>
    <t>1. Electronics is the major revenue driver, generating ₹2,96,000 (77.6% of total sales).</t>
  </si>
  <si>
    <t>2. Mall Stores contribute ₹3,59,800 (94.4% of total sales), making them the strongest sales channel.</t>
  </si>
  <si>
    <t>3. Credit Card transactions account for ₹2,96,000 (77.6% of total sales).</t>
  </si>
  <si>
    <t>4. Grocery has the highest order volume with 18 orders and 108 units sold.</t>
  </si>
  <si>
    <t>5. Electronics generates much higher revenue per order than Grocery, showing the impact of product value on revenue.</t>
  </si>
  <si>
    <t>6. High-value Electronics transactions are concentrated in a few cities, creating opportunities for targeted marketing.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</si>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</sst>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quot;$&quot;#,##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20"/>
      <color theme="1"/>
      <name val="Calibri"/>
      <family val="2"/>
    </font>
    <font>
      <sz val="20"/>
      <color theme="1"/>
      <name val="Aptos Narrow"/>
      <family val="2"/>
      <scheme val="minor"/>
    </font>
    <font>
      <b/>
      <sz val="16"/>
      <color theme="1"/>
      <name val="Arial Black"/>
      <family val="2"/>
    </font>
    <font>
      <sz val="11"/>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2"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right"/>
    </xf>
    <xf numFmtId="0" fontId="16" fillId="0" borderId="0" xfId="0" applyFont="1" applyAlignment="1">
      <alignment horizontal="center"/>
    </xf>
    <xf numFmtId="0" fontId="0" fillId="33" borderId="10" xfId="0" applyFill="1" applyBorder="1"/>
    <xf numFmtId="164" fontId="0" fillId="0" borderId="0" xfId="0" applyNumberFormat="1" applyAlignment="1">
      <alignment horizontal="right"/>
    </xf>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0" fontId="18" fillId="0" borderId="0" xfId="0" applyFont="1"/>
    <xf numFmtId="0" fontId="0" fillId="0" borderId="0" xfId="0" applyAlignment="1">
      <alignment horizontal="center"/>
    </xf>
    <xf numFmtId="1" fontId="0" fillId="0" borderId="0" xfId="0" applyNumberFormat="1"/>
    <xf numFmtId="0" fontId="19" fillId="34" borderId="0" xfId="0" applyFont="1" applyFill="1" applyAlignment="1">
      <alignment horizontal="center"/>
    </xf>
    <xf numFmtId="0" fontId="20" fillId="34" borderId="0" xfId="0" applyFont="1" applyFill="1" applyAlignment="1">
      <alignment horizontal="center"/>
    </xf>
    <xf numFmtId="0" fontId="21" fillId="0" borderId="0" xfId="0" applyFont="1" applyAlignment="1">
      <alignment horizontal="center" vertical="center"/>
    </xf>
    <xf numFmtId="0" fontId="21" fillId="0" borderId="0" xfId="0" applyFont="1" applyBorder="1" applyAlignment="1">
      <alignment horizontal="center" vertical="center"/>
    </xf>
    <xf numFmtId="0" fontId="22" fillId="0" borderId="10" xfId="0" applyFon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mm\-dd\-yyyy"/>
    </dxf>
    <dxf>
      <numFmt numFmtId="164" formatCode="mm\-dd\-yyyy"/>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46981627296588"/>
          <c:y val="0.25856262758821813"/>
          <c:w val="0.74649759405074378"/>
          <c:h val="0.5011698016914552"/>
        </c:manualLayout>
      </c:layout>
      <c:bar3DChart>
        <c:barDir val="col"/>
        <c:grouping val="clustered"/>
        <c:varyColors val="0"/>
        <c:ser>
          <c:idx val="0"/>
          <c:order val="0"/>
          <c:tx>
            <c:strRef>
              <c:f>'sheet 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1'!$A$2:$A$6</c:f>
              <c:strCache>
                <c:ptCount val="4"/>
                <c:pt idx="0">
                  <c:v>Clothing</c:v>
                </c:pt>
                <c:pt idx="1">
                  <c:v>Electronics</c:v>
                </c:pt>
                <c:pt idx="2">
                  <c:v>Grocery</c:v>
                </c:pt>
                <c:pt idx="3">
                  <c:v>Stationery</c:v>
                </c:pt>
              </c:strCache>
            </c:strRef>
          </c:cat>
          <c:val>
            <c:numRef>
              <c:f>'sheet 1'!$B$2:$B$6</c:f>
              <c:numCache>
                <c:formatCode>General</c:formatCode>
                <c:ptCount val="4"/>
                <c:pt idx="0">
                  <c:v>63800</c:v>
                </c:pt>
                <c:pt idx="1">
                  <c:v>296000</c:v>
                </c:pt>
                <c:pt idx="2">
                  <c:v>17030</c:v>
                </c:pt>
                <c:pt idx="3">
                  <c:v>4520</c:v>
                </c:pt>
              </c:numCache>
            </c:numRef>
          </c:val>
          <c:extLst>
            <c:ext xmlns:c16="http://schemas.microsoft.com/office/drawing/2014/chart" uri="{C3380CC4-5D6E-409C-BE32-E72D297353CC}">
              <c16:uniqueId val="{00000000-D261-440D-81A9-FFBCD931C9DE}"/>
            </c:ext>
          </c:extLst>
        </c:ser>
        <c:dLbls>
          <c:showLegendKey val="0"/>
          <c:showVal val="0"/>
          <c:showCatName val="0"/>
          <c:showSerName val="0"/>
          <c:showPercent val="0"/>
          <c:showBubbleSize val="0"/>
        </c:dLbls>
        <c:gapWidth val="150"/>
        <c:shape val="box"/>
        <c:axId val="1573903247"/>
        <c:axId val="1492623279"/>
        <c:axId val="0"/>
      </c:bar3DChart>
      <c:catAx>
        <c:axId val="157390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623279"/>
        <c:crosses val="autoZero"/>
        <c:auto val="1"/>
        <c:lblAlgn val="ctr"/>
        <c:lblOffset val="100"/>
        <c:noMultiLvlLbl val="0"/>
      </c:catAx>
      <c:valAx>
        <c:axId val="14926232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90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Cities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9203849518809"/>
          <c:y val="0.2653452172645086"/>
          <c:w val="0.7338490813648294"/>
          <c:h val="0.50538167104111986"/>
        </c:manualLayout>
      </c:layout>
      <c:areaChart>
        <c:grouping val="stacked"/>
        <c:varyColors val="0"/>
        <c:ser>
          <c:idx val="0"/>
          <c:order val="0"/>
          <c:tx>
            <c:strRef>
              <c:f>'Sheet 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 2'!$A$2:$A$51</c:f>
              <c:strCache>
                <c:ptCount val="49"/>
                <c:pt idx="0">
                  <c:v>Agra</c:v>
                </c:pt>
                <c:pt idx="1">
                  <c:v>Ahmedabad</c:v>
                </c:pt>
                <c:pt idx="2">
                  <c:v>Amritsar</c:v>
                </c:pt>
                <c:pt idx="3">
                  <c:v>Bengaluru</c:v>
                </c:pt>
                <c:pt idx="4">
                  <c:v>Bhopal</c:v>
                </c:pt>
                <c:pt idx="5">
                  <c:v>Bilaspur</c:v>
                </c:pt>
                <c:pt idx="6">
                  <c:v>Chandigarh</c:v>
                </c:pt>
                <c:pt idx="7">
                  <c:v>Chennai</c:v>
                </c:pt>
                <c:pt idx="8">
                  <c:v>Dehradun</c:v>
                </c:pt>
                <c:pt idx="9">
                  <c:v>Delhi</c:v>
                </c:pt>
                <c:pt idx="10">
                  <c:v>Faridabad</c:v>
                </c:pt>
                <c:pt idx="11">
                  <c:v>Gorakhpur</c:v>
                </c:pt>
                <c:pt idx="12">
                  <c:v>Gurgaon</c:v>
                </c:pt>
                <c:pt idx="13">
                  <c:v>Gwalior</c:v>
                </c:pt>
                <c:pt idx="14">
                  <c:v>Hisar</c:v>
                </c:pt>
                <c:pt idx="15">
                  <c:v>Hyderabad</c:v>
                </c:pt>
                <c:pt idx="16">
                  <c:v>Indore</c:v>
                </c:pt>
                <c:pt idx="17">
                  <c:v>Jaipur</c:v>
                </c:pt>
                <c:pt idx="18">
                  <c:v>Jodhpur</c:v>
                </c:pt>
                <c:pt idx="19">
                  <c:v>Kanpur</c:v>
                </c:pt>
                <c:pt idx="20">
                  <c:v>Kochi</c:v>
                </c:pt>
                <c:pt idx="21">
                  <c:v>Kolhapur</c:v>
                </c:pt>
                <c:pt idx="22">
                  <c:v>Kolkata</c:v>
                </c:pt>
                <c:pt idx="23">
                  <c:v>Kota</c:v>
                </c:pt>
                <c:pt idx="24">
                  <c:v>Lucknow</c:v>
                </c:pt>
                <c:pt idx="25">
                  <c:v>Ludhiana</c:v>
                </c:pt>
                <c:pt idx="26">
                  <c:v>Mangalore</c:v>
                </c:pt>
                <c:pt idx="27">
                  <c:v>Meerut</c:v>
                </c:pt>
                <c:pt idx="28">
                  <c:v>Mumbai</c:v>
                </c:pt>
                <c:pt idx="29">
                  <c:v>Nagpur</c:v>
                </c:pt>
                <c:pt idx="30">
                  <c:v>Nashik</c:v>
                </c:pt>
                <c:pt idx="31">
                  <c:v>Noida</c:v>
                </c:pt>
                <c:pt idx="32">
                  <c:v>Panchkula</c:v>
                </c:pt>
                <c:pt idx="33">
                  <c:v>Panipat</c:v>
                </c:pt>
                <c:pt idx="34">
                  <c:v>Patna</c:v>
                </c:pt>
                <c:pt idx="35">
                  <c:v>Prayagraj</c:v>
                </c:pt>
                <c:pt idx="36">
                  <c:v>Pune</c:v>
                </c:pt>
                <c:pt idx="37">
                  <c:v>Rajkot</c:v>
                </c:pt>
                <c:pt idx="38">
                  <c:v>Ratlam</c:v>
                </c:pt>
                <c:pt idx="39">
                  <c:v>Rewa</c:v>
                </c:pt>
                <c:pt idx="40">
                  <c:v>Rohtak</c:v>
                </c:pt>
                <c:pt idx="41">
                  <c:v>Sangli</c:v>
                </c:pt>
                <c:pt idx="42">
                  <c:v>Satara</c:v>
                </c:pt>
                <c:pt idx="43">
                  <c:v>Siliguri</c:v>
                </c:pt>
                <c:pt idx="44">
                  <c:v>Solapur</c:v>
                </c:pt>
                <c:pt idx="45">
                  <c:v>Surat</c:v>
                </c:pt>
                <c:pt idx="46">
                  <c:v>Trivandrum</c:v>
                </c:pt>
                <c:pt idx="47">
                  <c:v>Udaipur</c:v>
                </c:pt>
                <c:pt idx="48">
                  <c:v>Varanasi</c:v>
                </c:pt>
              </c:strCache>
            </c:strRef>
          </c:cat>
          <c:val>
            <c:numRef>
              <c:f>'Sheet 2'!$B$2:$B$51</c:f>
              <c:numCache>
                <c:formatCode>General</c:formatCode>
                <c:ptCount val="49"/>
                <c:pt idx="0">
                  <c:v>5200</c:v>
                </c:pt>
                <c:pt idx="1">
                  <c:v>4500</c:v>
                </c:pt>
                <c:pt idx="2">
                  <c:v>780</c:v>
                </c:pt>
                <c:pt idx="3">
                  <c:v>6800</c:v>
                </c:pt>
                <c:pt idx="4">
                  <c:v>1350</c:v>
                </c:pt>
                <c:pt idx="5">
                  <c:v>660</c:v>
                </c:pt>
                <c:pt idx="6">
                  <c:v>3000</c:v>
                </c:pt>
                <c:pt idx="7">
                  <c:v>30000</c:v>
                </c:pt>
                <c:pt idx="8">
                  <c:v>5100</c:v>
                </c:pt>
                <c:pt idx="9">
                  <c:v>850</c:v>
                </c:pt>
                <c:pt idx="10">
                  <c:v>15000</c:v>
                </c:pt>
                <c:pt idx="11">
                  <c:v>1300</c:v>
                </c:pt>
                <c:pt idx="12">
                  <c:v>40000</c:v>
                </c:pt>
                <c:pt idx="13">
                  <c:v>980</c:v>
                </c:pt>
                <c:pt idx="14">
                  <c:v>900</c:v>
                </c:pt>
                <c:pt idx="15">
                  <c:v>1150</c:v>
                </c:pt>
                <c:pt idx="16">
                  <c:v>900</c:v>
                </c:pt>
                <c:pt idx="17">
                  <c:v>18000</c:v>
                </c:pt>
                <c:pt idx="18">
                  <c:v>500</c:v>
                </c:pt>
                <c:pt idx="19">
                  <c:v>25000</c:v>
                </c:pt>
                <c:pt idx="20">
                  <c:v>26000</c:v>
                </c:pt>
                <c:pt idx="21">
                  <c:v>3900</c:v>
                </c:pt>
                <c:pt idx="22">
                  <c:v>6500</c:v>
                </c:pt>
                <c:pt idx="23">
                  <c:v>4800</c:v>
                </c:pt>
                <c:pt idx="24">
                  <c:v>1200</c:v>
                </c:pt>
                <c:pt idx="25">
                  <c:v>7200</c:v>
                </c:pt>
                <c:pt idx="26">
                  <c:v>950</c:v>
                </c:pt>
                <c:pt idx="27">
                  <c:v>22000</c:v>
                </c:pt>
                <c:pt idx="28">
                  <c:v>32000</c:v>
                </c:pt>
                <c:pt idx="29">
                  <c:v>720</c:v>
                </c:pt>
                <c:pt idx="30">
                  <c:v>560</c:v>
                </c:pt>
                <c:pt idx="31">
                  <c:v>420</c:v>
                </c:pt>
                <c:pt idx="32">
                  <c:v>820</c:v>
                </c:pt>
                <c:pt idx="33">
                  <c:v>36000</c:v>
                </c:pt>
                <c:pt idx="34">
                  <c:v>600</c:v>
                </c:pt>
                <c:pt idx="35">
                  <c:v>28000</c:v>
                </c:pt>
                <c:pt idx="36">
                  <c:v>2800</c:v>
                </c:pt>
                <c:pt idx="37">
                  <c:v>24000</c:v>
                </c:pt>
                <c:pt idx="38">
                  <c:v>4100</c:v>
                </c:pt>
                <c:pt idx="39">
                  <c:v>1350</c:v>
                </c:pt>
                <c:pt idx="40">
                  <c:v>540</c:v>
                </c:pt>
                <c:pt idx="41">
                  <c:v>900</c:v>
                </c:pt>
                <c:pt idx="42">
                  <c:v>600</c:v>
                </c:pt>
                <c:pt idx="43">
                  <c:v>420</c:v>
                </c:pt>
                <c:pt idx="44">
                  <c:v>1050</c:v>
                </c:pt>
                <c:pt idx="45">
                  <c:v>5600</c:v>
                </c:pt>
                <c:pt idx="46">
                  <c:v>4300</c:v>
                </c:pt>
                <c:pt idx="47">
                  <c:v>1100</c:v>
                </c:pt>
                <c:pt idx="48">
                  <c:v>950</c:v>
                </c:pt>
              </c:numCache>
            </c:numRef>
          </c:val>
          <c:extLst>
            <c:ext xmlns:c16="http://schemas.microsoft.com/office/drawing/2014/chart" uri="{C3380CC4-5D6E-409C-BE32-E72D297353CC}">
              <c16:uniqueId val="{00000000-5746-463F-86F0-34886904DC92}"/>
            </c:ext>
          </c:extLst>
        </c:ser>
        <c:dLbls>
          <c:showLegendKey val="0"/>
          <c:showVal val="0"/>
          <c:showCatName val="0"/>
          <c:showSerName val="0"/>
          <c:showPercent val="0"/>
          <c:showBubbleSize val="0"/>
        </c:dLbls>
        <c:axId val="1362543391"/>
        <c:axId val="1492713999"/>
      </c:areaChart>
      <c:catAx>
        <c:axId val="1362543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713999"/>
        <c:crosses val="autoZero"/>
        <c:auto val="1"/>
        <c:lblAlgn val="ctr"/>
        <c:lblOffset val="100"/>
        <c:noMultiLvlLbl val="0"/>
      </c:catAx>
      <c:valAx>
        <c:axId val="149271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543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[Retail_Sales_Analysis_Dashboard.xlsx]sheet 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Payment Method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 3'!$B$1</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7FA-4498-AC91-A763129401E6}"/>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7FA-4498-AC91-A763129401E6}"/>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7FA-4498-AC91-A763129401E6}"/>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7FA-4498-AC91-A763129401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 3'!$A$2:$A$6</c:f>
              <c:strCache>
                <c:ptCount val="4"/>
                <c:pt idx="0">
                  <c:v>Cash</c:v>
                </c:pt>
                <c:pt idx="1">
                  <c:v>Credit Card</c:v>
                </c:pt>
                <c:pt idx="2">
                  <c:v>Debit Card</c:v>
                </c:pt>
                <c:pt idx="3">
                  <c:v>UPI</c:v>
                </c:pt>
              </c:strCache>
            </c:strRef>
          </c:cat>
          <c:val>
            <c:numRef>
              <c:f>'sheet 3'!$B$2:$B$6</c:f>
              <c:numCache>
                <c:formatCode>General</c:formatCode>
                <c:ptCount val="4"/>
                <c:pt idx="0">
                  <c:v>9280</c:v>
                </c:pt>
                <c:pt idx="1">
                  <c:v>296000</c:v>
                </c:pt>
                <c:pt idx="2">
                  <c:v>32400</c:v>
                </c:pt>
                <c:pt idx="3">
                  <c:v>43670</c:v>
                </c:pt>
              </c:numCache>
            </c:numRef>
          </c:val>
          <c:extLst>
            <c:ext xmlns:c16="http://schemas.microsoft.com/office/drawing/2014/chart" uri="{C3380CC4-5D6E-409C-BE32-E72D297353CC}">
              <c16:uniqueId val="{00000000-8904-42F2-8724-DE58B3372D2F}"/>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[Retail_Sales_Analysis_Dashboard.xlsx]sheet 4!PivotTable4</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by Store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 4'!$B$1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4'!$A$2:$A$5</c:f>
              <c:strCache>
                <c:ptCount val="3"/>
                <c:pt idx="0">
                  <c:v>Local Store</c:v>
                </c:pt>
                <c:pt idx="1">
                  <c:v>Mall Store</c:v>
                </c:pt>
                <c:pt idx="2">
                  <c:v>Supermarket</c:v>
                </c:pt>
              </c:strCache>
            </c:strRef>
          </c:cat>
          <c:val>
            <c:numRef>
              <c:f>'sheet 4'!$B$2:$B$5</c:f>
              <c:numCache>
                <c:formatCode>General</c:formatCode>
                <c:ptCount val="3"/>
                <c:pt idx="0">
                  <c:v>5720</c:v>
                </c:pt>
                <c:pt idx="1">
                  <c:v>359800</c:v>
                </c:pt>
                <c:pt idx="2">
                  <c:v>15830</c:v>
                </c:pt>
              </c:numCache>
            </c:numRef>
          </c:val>
          <c:extLst>
            <c:ext xmlns:c16="http://schemas.microsoft.com/office/drawing/2014/chart" uri="{C3380CC4-5D6E-409C-BE32-E72D297353CC}">
              <c16:uniqueId val="{00000000-A714-4E21-B1EF-44997387990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79247647"/>
        <c:axId val="1492711119"/>
      </c:areaChart>
      <c:catAx>
        <c:axId val="1679247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92711119"/>
        <c:crosses val="autoZero"/>
        <c:auto val="1"/>
        <c:lblAlgn val="ctr"/>
        <c:lblOffset val="100"/>
        <c:noMultiLvlLbl val="0"/>
      </c:catAx>
      <c:valAx>
        <c:axId val="14927111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47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5'!$B$1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 5'!$A$2:$A$19</c:f>
              <c:strCache>
                <c:ptCount val="17"/>
                <c:pt idx="0">
                  <c:v>13-01-2025</c:v>
                </c:pt>
                <c:pt idx="1">
                  <c:v>14-01-2025</c:v>
                </c:pt>
                <c:pt idx="2">
                  <c:v>15-01-2025</c:v>
                </c:pt>
                <c:pt idx="3">
                  <c:v>16-01-2025</c:v>
                </c:pt>
                <c:pt idx="4">
                  <c:v>17-01-2025</c:v>
                </c:pt>
                <c:pt idx="5">
                  <c:v>18-01-2025</c:v>
                </c:pt>
                <c:pt idx="6">
                  <c:v>19-01-2025</c:v>
                </c:pt>
                <c:pt idx="7">
                  <c:v>20-01-2025</c:v>
                </c:pt>
                <c:pt idx="8">
                  <c:v>21-01-2025</c:v>
                </c:pt>
                <c:pt idx="9">
                  <c:v>5/1/2025</c:v>
                </c:pt>
                <c:pt idx="10">
                  <c:v>6/1/2025</c:v>
                </c:pt>
                <c:pt idx="11">
                  <c:v>7/1/2025</c:v>
                </c:pt>
                <c:pt idx="12">
                  <c:v>8/1/2025</c:v>
                </c:pt>
                <c:pt idx="13">
                  <c:v>9/1/2025</c:v>
                </c:pt>
                <c:pt idx="14">
                  <c:v>10/1/2025</c:v>
                </c:pt>
                <c:pt idx="15">
                  <c:v>11/1/2025</c:v>
                </c:pt>
                <c:pt idx="16">
                  <c:v>12/1/2025</c:v>
                </c:pt>
              </c:strCache>
            </c:strRef>
          </c:cat>
          <c:val>
            <c:numRef>
              <c:f>'sheet 5'!$B$2:$B$19</c:f>
              <c:numCache>
                <c:formatCode>General</c:formatCode>
                <c:ptCount val="17"/>
                <c:pt idx="0">
                  <c:v>2390</c:v>
                </c:pt>
                <c:pt idx="1">
                  <c:v>33700</c:v>
                </c:pt>
                <c:pt idx="2">
                  <c:v>5090</c:v>
                </c:pt>
                <c:pt idx="3">
                  <c:v>44180</c:v>
                </c:pt>
                <c:pt idx="4">
                  <c:v>7080</c:v>
                </c:pt>
                <c:pt idx="5">
                  <c:v>31450</c:v>
                </c:pt>
                <c:pt idx="6">
                  <c:v>31500</c:v>
                </c:pt>
                <c:pt idx="7">
                  <c:v>30400</c:v>
                </c:pt>
                <c:pt idx="8">
                  <c:v>8170</c:v>
                </c:pt>
                <c:pt idx="9">
                  <c:v>32850</c:v>
                </c:pt>
                <c:pt idx="10">
                  <c:v>6300</c:v>
                </c:pt>
                <c:pt idx="11">
                  <c:v>21700</c:v>
                </c:pt>
                <c:pt idx="12">
                  <c:v>32200</c:v>
                </c:pt>
                <c:pt idx="13">
                  <c:v>6720</c:v>
                </c:pt>
                <c:pt idx="14">
                  <c:v>41850</c:v>
                </c:pt>
                <c:pt idx="15">
                  <c:v>18720</c:v>
                </c:pt>
                <c:pt idx="16">
                  <c:v>27050</c:v>
                </c:pt>
              </c:numCache>
            </c:numRef>
          </c:val>
          <c:extLst>
            <c:ext xmlns:c16="http://schemas.microsoft.com/office/drawing/2014/chart" uri="{C3380CC4-5D6E-409C-BE32-E72D297353CC}">
              <c16:uniqueId val="{00000000-E3D7-484B-9869-17A489E31B8E}"/>
            </c:ext>
          </c:extLst>
        </c:ser>
        <c:dLbls>
          <c:showLegendKey val="0"/>
          <c:showVal val="0"/>
          <c:showCatName val="0"/>
          <c:showSerName val="0"/>
          <c:showPercent val="0"/>
          <c:showBubbleSize val="0"/>
        </c:dLbls>
        <c:gapWidth val="65"/>
        <c:shape val="box"/>
        <c:axId val="1683606735"/>
        <c:axId val="1492682799"/>
        <c:axId val="0"/>
      </c:bar3DChart>
      <c:catAx>
        <c:axId val="1683606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2682799"/>
        <c:crosses val="autoZero"/>
        <c:auto val="1"/>
        <c:lblAlgn val="ctr"/>
        <c:lblOffset val="100"/>
        <c:noMultiLvlLbl val="0"/>
      </c:catAx>
      <c:valAx>
        <c:axId val="14926827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36067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2!PivotTable2</c:name>
    <c:fmtId val="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a:t>
            </a:r>
            <a:r>
              <a:rPr lang="en-US" sz="1400" baseline="0"/>
              <a:t> BY CITIES</a:t>
            </a:r>
          </a:p>
          <a:p>
            <a:pPr>
              <a:defRPr sz="1400"/>
            </a:pPr>
            <a:endParaRPr lang="en-US" sz="1400" baseline="0"/>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5398816673339"/>
          <c:y val="0.25490126561404958"/>
          <c:w val="0.82609989249498794"/>
          <c:h val="0.50538167104111986"/>
        </c:manualLayout>
      </c:layout>
      <c:areaChart>
        <c:grouping val="standard"/>
        <c:varyColors val="0"/>
        <c:ser>
          <c:idx val="0"/>
          <c:order val="0"/>
          <c:tx>
            <c:strRef>
              <c:f>'Sheet 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 2'!$A$2:$A$51</c:f>
              <c:strCache>
                <c:ptCount val="49"/>
                <c:pt idx="0">
                  <c:v>Agra</c:v>
                </c:pt>
                <c:pt idx="1">
                  <c:v>Ahmedabad</c:v>
                </c:pt>
                <c:pt idx="2">
                  <c:v>Amritsar</c:v>
                </c:pt>
                <c:pt idx="3">
                  <c:v>Bengaluru</c:v>
                </c:pt>
                <c:pt idx="4">
                  <c:v>Bhopal</c:v>
                </c:pt>
                <c:pt idx="5">
                  <c:v>Bilaspur</c:v>
                </c:pt>
                <c:pt idx="6">
                  <c:v>Chandigarh</c:v>
                </c:pt>
                <c:pt idx="7">
                  <c:v>Chennai</c:v>
                </c:pt>
                <c:pt idx="8">
                  <c:v>Dehradun</c:v>
                </c:pt>
                <c:pt idx="9">
                  <c:v>Delhi</c:v>
                </c:pt>
                <c:pt idx="10">
                  <c:v>Faridabad</c:v>
                </c:pt>
                <c:pt idx="11">
                  <c:v>Gorakhpur</c:v>
                </c:pt>
                <c:pt idx="12">
                  <c:v>Gurgaon</c:v>
                </c:pt>
                <c:pt idx="13">
                  <c:v>Gwalior</c:v>
                </c:pt>
                <c:pt idx="14">
                  <c:v>Hisar</c:v>
                </c:pt>
                <c:pt idx="15">
                  <c:v>Hyderabad</c:v>
                </c:pt>
                <c:pt idx="16">
                  <c:v>Indore</c:v>
                </c:pt>
                <c:pt idx="17">
                  <c:v>Jaipur</c:v>
                </c:pt>
                <c:pt idx="18">
                  <c:v>Jodhpur</c:v>
                </c:pt>
                <c:pt idx="19">
                  <c:v>Kanpur</c:v>
                </c:pt>
                <c:pt idx="20">
                  <c:v>Kochi</c:v>
                </c:pt>
                <c:pt idx="21">
                  <c:v>Kolhapur</c:v>
                </c:pt>
                <c:pt idx="22">
                  <c:v>Kolkata</c:v>
                </c:pt>
                <c:pt idx="23">
                  <c:v>Kota</c:v>
                </c:pt>
                <c:pt idx="24">
                  <c:v>Lucknow</c:v>
                </c:pt>
                <c:pt idx="25">
                  <c:v>Ludhiana</c:v>
                </c:pt>
                <c:pt idx="26">
                  <c:v>Mangalore</c:v>
                </c:pt>
                <c:pt idx="27">
                  <c:v>Meerut</c:v>
                </c:pt>
                <c:pt idx="28">
                  <c:v>Mumbai</c:v>
                </c:pt>
                <c:pt idx="29">
                  <c:v>Nagpur</c:v>
                </c:pt>
                <c:pt idx="30">
                  <c:v>Nashik</c:v>
                </c:pt>
                <c:pt idx="31">
                  <c:v>Noida</c:v>
                </c:pt>
                <c:pt idx="32">
                  <c:v>Panchkula</c:v>
                </c:pt>
                <c:pt idx="33">
                  <c:v>Panipat</c:v>
                </c:pt>
                <c:pt idx="34">
                  <c:v>Patna</c:v>
                </c:pt>
                <c:pt idx="35">
                  <c:v>Prayagraj</c:v>
                </c:pt>
                <c:pt idx="36">
                  <c:v>Pune</c:v>
                </c:pt>
                <c:pt idx="37">
                  <c:v>Rajkot</c:v>
                </c:pt>
                <c:pt idx="38">
                  <c:v>Ratlam</c:v>
                </c:pt>
                <c:pt idx="39">
                  <c:v>Rewa</c:v>
                </c:pt>
                <c:pt idx="40">
                  <c:v>Rohtak</c:v>
                </c:pt>
                <c:pt idx="41">
                  <c:v>Sangli</c:v>
                </c:pt>
                <c:pt idx="42">
                  <c:v>Satara</c:v>
                </c:pt>
                <c:pt idx="43">
                  <c:v>Siliguri</c:v>
                </c:pt>
                <c:pt idx="44">
                  <c:v>Solapur</c:v>
                </c:pt>
                <c:pt idx="45">
                  <c:v>Surat</c:v>
                </c:pt>
                <c:pt idx="46">
                  <c:v>Trivandrum</c:v>
                </c:pt>
                <c:pt idx="47">
                  <c:v>Udaipur</c:v>
                </c:pt>
                <c:pt idx="48">
                  <c:v>Varanasi</c:v>
                </c:pt>
              </c:strCache>
            </c:strRef>
          </c:cat>
          <c:val>
            <c:numRef>
              <c:f>'Sheet 2'!$B$2:$B$51</c:f>
              <c:numCache>
                <c:formatCode>General</c:formatCode>
                <c:ptCount val="49"/>
                <c:pt idx="0">
                  <c:v>5200</c:v>
                </c:pt>
                <c:pt idx="1">
                  <c:v>4500</c:v>
                </c:pt>
                <c:pt idx="2">
                  <c:v>780</c:v>
                </c:pt>
                <c:pt idx="3">
                  <c:v>6800</c:v>
                </c:pt>
                <c:pt idx="4">
                  <c:v>1350</c:v>
                </c:pt>
                <c:pt idx="5">
                  <c:v>660</c:v>
                </c:pt>
                <c:pt idx="6">
                  <c:v>3000</c:v>
                </c:pt>
                <c:pt idx="7">
                  <c:v>30000</c:v>
                </c:pt>
                <c:pt idx="8">
                  <c:v>5100</c:v>
                </c:pt>
                <c:pt idx="9">
                  <c:v>850</c:v>
                </c:pt>
                <c:pt idx="10">
                  <c:v>15000</c:v>
                </c:pt>
                <c:pt idx="11">
                  <c:v>1300</c:v>
                </c:pt>
                <c:pt idx="12">
                  <c:v>40000</c:v>
                </c:pt>
                <c:pt idx="13">
                  <c:v>980</c:v>
                </c:pt>
                <c:pt idx="14">
                  <c:v>900</c:v>
                </c:pt>
                <c:pt idx="15">
                  <c:v>1150</c:v>
                </c:pt>
                <c:pt idx="16">
                  <c:v>900</c:v>
                </c:pt>
                <c:pt idx="17">
                  <c:v>18000</c:v>
                </c:pt>
                <c:pt idx="18">
                  <c:v>500</c:v>
                </c:pt>
                <c:pt idx="19">
                  <c:v>25000</c:v>
                </c:pt>
                <c:pt idx="20">
                  <c:v>26000</c:v>
                </c:pt>
                <c:pt idx="21">
                  <c:v>3900</c:v>
                </c:pt>
                <c:pt idx="22">
                  <c:v>6500</c:v>
                </c:pt>
                <c:pt idx="23">
                  <c:v>4800</c:v>
                </c:pt>
                <c:pt idx="24">
                  <c:v>1200</c:v>
                </c:pt>
                <c:pt idx="25">
                  <c:v>7200</c:v>
                </c:pt>
                <c:pt idx="26">
                  <c:v>950</c:v>
                </c:pt>
                <c:pt idx="27">
                  <c:v>22000</c:v>
                </c:pt>
                <c:pt idx="28">
                  <c:v>32000</c:v>
                </c:pt>
                <c:pt idx="29">
                  <c:v>720</c:v>
                </c:pt>
                <c:pt idx="30">
                  <c:v>560</c:v>
                </c:pt>
                <c:pt idx="31">
                  <c:v>420</c:v>
                </c:pt>
                <c:pt idx="32">
                  <c:v>820</c:v>
                </c:pt>
                <c:pt idx="33">
                  <c:v>36000</c:v>
                </c:pt>
                <c:pt idx="34">
                  <c:v>600</c:v>
                </c:pt>
                <c:pt idx="35">
                  <c:v>28000</c:v>
                </c:pt>
                <c:pt idx="36">
                  <c:v>2800</c:v>
                </c:pt>
                <c:pt idx="37">
                  <c:v>24000</c:v>
                </c:pt>
                <c:pt idx="38">
                  <c:v>4100</c:v>
                </c:pt>
                <c:pt idx="39">
                  <c:v>1350</c:v>
                </c:pt>
                <c:pt idx="40">
                  <c:v>540</c:v>
                </c:pt>
                <c:pt idx="41">
                  <c:v>900</c:v>
                </c:pt>
                <c:pt idx="42">
                  <c:v>600</c:v>
                </c:pt>
                <c:pt idx="43">
                  <c:v>420</c:v>
                </c:pt>
                <c:pt idx="44">
                  <c:v>1050</c:v>
                </c:pt>
                <c:pt idx="45">
                  <c:v>5600</c:v>
                </c:pt>
                <c:pt idx="46">
                  <c:v>4300</c:v>
                </c:pt>
                <c:pt idx="47">
                  <c:v>1100</c:v>
                </c:pt>
                <c:pt idx="48">
                  <c:v>950</c:v>
                </c:pt>
              </c:numCache>
            </c:numRef>
          </c:val>
          <c:extLst>
            <c:ext xmlns:c16="http://schemas.microsoft.com/office/drawing/2014/chart" uri="{C3380CC4-5D6E-409C-BE32-E72D297353CC}">
              <c16:uniqueId val="{00000000-E6DA-4C58-8085-521FC7686A7D}"/>
            </c:ext>
          </c:extLst>
        </c:ser>
        <c:dLbls>
          <c:showLegendKey val="0"/>
          <c:showVal val="0"/>
          <c:showCatName val="0"/>
          <c:showSerName val="0"/>
          <c:showPercent val="0"/>
          <c:showBubbleSize val="0"/>
        </c:dLbls>
        <c:axId val="1362543391"/>
        <c:axId val="1492713999"/>
      </c:areaChart>
      <c:catAx>
        <c:axId val="1362543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713999"/>
        <c:crosses val="autoZero"/>
        <c:auto val="1"/>
        <c:lblAlgn val="ctr"/>
        <c:lblOffset val="100"/>
        <c:noMultiLvlLbl val="0"/>
      </c:catAx>
      <c:valAx>
        <c:axId val="149271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543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5!PivotTable5</c:name>
    <c:fmtId val="6"/>
  </c:pivotSource>
  <c:chart>
    <c:title>
      <c:tx>
        <c:rich>
          <a:bodyPr rot="0" spcFirstLastPara="1" vertOverflow="ellipsis" vert="horz" wrap="square" anchor="ctr" anchorCtr="1"/>
          <a:lstStyle/>
          <a:p>
            <a:pPr algn="ctr" rtl="0">
              <a:defRPr lang="en-US" sz="1400" b="1" i="0" u="none" strike="noStrike" kern="1200" cap="all"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228265281272824E-2"/>
          <c:y val="0.1927654623646978"/>
          <c:w val="0.89542840327948692"/>
          <c:h val="0.48748633993310203"/>
        </c:manualLayout>
      </c:layout>
      <c:bar3DChart>
        <c:barDir val="col"/>
        <c:grouping val="clustered"/>
        <c:varyColors val="0"/>
        <c:ser>
          <c:idx val="0"/>
          <c:order val="0"/>
          <c:tx>
            <c:strRef>
              <c:f>'sheet 5'!$B$1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5'!$A$2:$A$19</c:f>
              <c:strCache>
                <c:ptCount val="17"/>
                <c:pt idx="0">
                  <c:v>13-01-2025</c:v>
                </c:pt>
                <c:pt idx="1">
                  <c:v>14-01-2025</c:v>
                </c:pt>
                <c:pt idx="2">
                  <c:v>15-01-2025</c:v>
                </c:pt>
                <c:pt idx="3">
                  <c:v>16-01-2025</c:v>
                </c:pt>
                <c:pt idx="4">
                  <c:v>17-01-2025</c:v>
                </c:pt>
                <c:pt idx="5">
                  <c:v>18-01-2025</c:v>
                </c:pt>
                <c:pt idx="6">
                  <c:v>19-01-2025</c:v>
                </c:pt>
                <c:pt idx="7">
                  <c:v>20-01-2025</c:v>
                </c:pt>
                <c:pt idx="8">
                  <c:v>21-01-2025</c:v>
                </c:pt>
                <c:pt idx="9">
                  <c:v>5/1/2025</c:v>
                </c:pt>
                <c:pt idx="10">
                  <c:v>6/1/2025</c:v>
                </c:pt>
                <c:pt idx="11">
                  <c:v>7/1/2025</c:v>
                </c:pt>
                <c:pt idx="12">
                  <c:v>8/1/2025</c:v>
                </c:pt>
                <c:pt idx="13">
                  <c:v>9/1/2025</c:v>
                </c:pt>
                <c:pt idx="14">
                  <c:v>10/1/2025</c:v>
                </c:pt>
                <c:pt idx="15">
                  <c:v>11/1/2025</c:v>
                </c:pt>
                <c:pt idx="16">
                  <c:v>12/1/2025</c:v>
                </c:pt>
              </c:strCache>
            </c:strRef>
          </c:cat>
          <c:val>
            <c:numRef>
              <c:f>'sheet 5'!$B$2:$B$19</c:f>
              <c:numCache>
                <c:formatCode>General</c:formatCode>
                <c:ptCount val="17"/>
                <c:pt idx="0">
                  <c:v>2390</c:v>
                </c:pt>
                <c:pt idx="1">
                  <c:v>33700</c:v>
                </c:pt>
                <c:pt idx="2">
                  <c:v>5090</c:v>
                </c:pt>
                <c:pt idx="3">
                  <c:v>44180</c:v>
                </c:pt>
                <c:pt idx="4">
                  <c:v>7080</c:v>
                </c:pt>
                <c:pt idx="5">
                  <c:v>31450</c:v>
                </c:pt>
                <c:pt idx="6">
                  <c:v>31500</c:v>
                </c:pt>
                <c:pt idx="7">
                  <c:v>30400</c:v>
                </c:pt>
                <c:pt idx="8">
                  <c:v>8170</c:v>
                </c:pt>
                <c:pt idx="9">
                  <c:v>32850</c:v>
                </c:pt>
                <c:pt idx="10">
                  <c:v>6300</c:v>
                </c:pt>
                <c:pt idx="11">
                  <c:v>21700</c:v>
                </c:pt>
                <c:pt idx="12">
                  <c:v>32200</c:v>
                </c:pt>
                <c:pt idx="13">
                  <c:v>6720</c:v>
                </c:pt>
                <c:pt idx="14">
                  <c:v>41850</c:v>
                </c:pt>
                <c:pt idx="15">
                  <c:v>18720</c:v>
                </c:pt>
                <c:pt idx="16">
                  <c:v>27050</c:v>
                </c:pt>
              </c:numCache>
            </c:numRef>
          </c:val>
          <c:extLst>
            <c:ext xmlns:c16="http://schemas.microsoft.com/office/drawing/2014/chart" uri="{C3380CC4-5D6E-409C-BE32-E72D297353CC}">
              <c16:uniqueId val="{00000000-EFD3-4E27-9BC3-D662B4E1659C}"/>
            </c:ext>
          </c:extLst>
        </c:ser>
        <c:dLbls>
          <c:showLegendKey val="0"/>
          <c:showVal val="1"/>
          <c:showCatName val="0"/>
          <c:showSerName val="0"/>
          <c:showPercent val="0"/>
          <c:showBubbleSize val="0"/>
        </c:dLbls>
        <c:gapWidth val="84"/>
        <c:gapDepth val="53"/>
        <c:shape val="box"/>
        <c:axId val="1683606735"/>
        <c:axId val="1492682799"/>
        <c:axId val="0"/>
      </c:bar3DChart>
      <c:catAx>
        <c:axId val="168360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2682799"/>
        <c:crosses val="autoZero"/>
        <c:auto val="1"/>
        <c:lblAlgn val="ctr"/>
        <c:lblOffset val="100"/>
        <c:noMultiLvlLbl val="0"/>
      </c:catAx>
      <c:valAx>
        <c:axId val="1492682799"/>
        <c:scaling>
          <c:orientation val="minMax"/>
        </c:scaling>
        <c:delete val="1"/>
        <c:axPos val="l"/>
        <c:numFmt formatCode="General" sourceLinked="1"/>
        <c:majorTickMark val="out"/>
        <c:minorTickMark val="none"/>
        <c:tickLblPos val="nextTo"/>
        <c:crossAx val="168360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[Retail_Sales_Analysis_Dashboard.xlsx]sheet 3!PivotTable3</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1400">
                <a:latin typeface="Calibri" panose="020F0502020204030204" pitchFamily="34" charset="0"/>
                <a:ea typeface="Calibri" panose="020F0502020204030204" pitchFamily="34" charset="0"/>
                <a:cs typeface="Calibri" panose="020F0502020204030204" pitchFamily="34" charset="0"/>
              </a:rPr>
              <a:t>SALES</a:t>
            </a:r>
            <a:r>
              <a:rPr lang="en-US" sz="1400" baseline="0">
                <a:latin typeface="Calibri" panose="020F0502020204030204" pitchFamily="34" charset="0"/>
                <a:ea typeface="Calibri" panose="020F0502020204030204" pitchFamily="34" charset="0"/>
                <a:cs typeface="Calibri" panose="020F0502020204030204" pitchFamily="34" charset="0"/>
              </a:rPr>
              <a:t> BY PAYMENT METHOD</a:t>
            </a:r>
            <a:endParaRPr lang="en-US" sz="14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9.2859842519685057E-2"/>
          <c:y val="0.139751702816289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000000000000001E-3"/>
          <c:y val="0.30582532244819088"/>
          <c:w val="0.77100000000000002"/>
          <c:h val="0.60828510699966187"/>
        </c:manualLayout>
      </c:layout>
      <c:pie3DChart>
        <c:varyColors val="1"/>
        <c:ser>
          <c:idx val="0"/>
          <c:order val="0"/>
          <c:tx>
            <c:strRef>
              <c:f>'sheet 3'!$B$1</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3D-4849-9DD1-A37F30BA888A}"/>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3D-4849-9DD1-A37F30BA888A}"/>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3D-4849-9DD1-A37F30BA888A}"/>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83D-4849-9DD1-A37F30BA888A}"/>
              </c:ext>
            </c:extLst>
          </c:dPt>
          <c:dLbls>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 3'!$A$2:$A$6</c:f>
              <c:strCache>
                <c:ptCount val="4"/>
                <c:pt idx="0">
                  <c:v>Cash</c:v>
                </c:pt>
                <c:pt idx="1">
                  <c:v>Credit Card</c:v>
                </c:pt>
                <c:pt idx="2">
                  <c:v>Debit Card</c:v>
                </c:pt>
                <c:pt idx="3">
                  <c:v>UPI</c:v>
                </c:pt>
              </c:strCache>
            </c:strRef>
          </c:cat>
          <c:val>
            <c:numRef>
              <c:f>'sheet 3'!$B$2:$B$6</c:f>
              <c:numCache>
                <c:formatCode>General</c:formatCode>
                <c:ptCount val="4"/>
                <c:pt idx="0">
                  <c:v>9280</c:v>
                </c:pt>
                <c:pt idx="1">
                  <c:v>296000</c:v>
                </c:pt>
                <c:pt idx="2">
                  <c:v>32400</c:v>
                </c:pt>
                <c:pt idx="3">
                  <c:v>43670</c:v>
                </c:pt>
              </c:numCache>
            </c:numRef>
          </c:val>
          <c:extLst>
            <c:ext xmlns:c16="http://schemas.microsoft.com/office/drawing/2014/chart" uri="{C3380CC4-5D6E-409C-BE32-E72D297353CC}">
              <c16:uniqueId val="{00000008-B83D-4849-9DD1-A37F30BA888A}"/>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7900000000000005"/>
          <c:y val="0.50826578426162983"/>
          <c:w val="0.32100000000000001"/>
          <c:h val="0.39972320177769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 1!PivotTable1</c:name>
    <c:fmtId val="8"/>
  </c:pivotSource>
  <c:chart>
    <c:title>
      <c:tx>
        <c:rich>
          <a:bodyPr rot="0" spcFirstLastPara="1" vertOverflow="ellipsis" vert="horz" wrap="square" anchor="ctr" anchorCtr="1"/>
          <a:lstStyle/>
          <a:p>
            <a:pPr algn="ctr" rtl="0">
              <a:defRPr lang="en-US" sz="1400" b="1" i="0" u="none" strike="noStrike" kern="1200"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SALES BY CATEGORY</a:t>
            </a:r>
          </a:p>
        </c:rich>
      </c:tx>
      <c:layout>
        <c:manualLayout>
          <c:xMode val="edge"/>
          <c:yMode val="edge"/>
          <c:x val="0.23859691267405131"/>
          <c:y val="9.740449110527851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ysClr val="window" lastClr="FFFFFF"/>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13470350104541"/>
          <c:y val="0.26040099154272384"/>
          <c:w val="0.77662944674288592"/>
          <c:h val="0.48265140468552542"/>
        </c:manualLayout>
      </c:layout>
      <c:bar3DChart>
        <c:barDir val="col"/>
        <c:grouping val="clustered"/>
        <c:varyColors val="0"/>
        <c:ser>
          <c:idx val="0"/>
          <c:order val="0"/>
          <c:tx>
            <c:strRef>
              <c:f>'sheet 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 1'!$A$2:$A$6</c:f>
              <c:strCache>
                <c:ptCount val="4"/>
                <c:pt idx="0">
                  <c:v>Clothing</c:v>
                </c:pt>
                <c:pt idx="1">
                  <c:v>Electronics</c:v>
                </c:pt>
                <c:pt idx="2">
                  <c:v>Grocery</c:v>
                </c:pt>
                <c:pt idx="3">
                  <c:v>Stationery</c:v>
                </c:pt>
              </c:strCache>
            </c:strRef>
          </c:cat>
          <c:val>
            <c:numRef>
              <c:f>'sheet 1'!$B$2:$B$6</c:f>
              <c:numCache>
                <c:formatCode>General</c:formatCode>
                <c:ptCount val="4"/>
                <c:pt idx="0">
                  <c:v>63800</c:v>
                </c:pt>
                <c:pt idx="1">
                  <c:v>296000</c:v>
                </c:pt>
                <c:pt idx="2">
                  <c:v>17030</c:v>
                </c:pt>
                <c:pt idx="3">
                  <c:v>4520</c:v>
                </c:pt>
              </c:numCache>
            </c:numRef>
          </c:val>
          <c:extLst>
            <c:ext xmlns:c16="http://schemas.microsoft.com/office/drawing/2014/chart" uri="{C3380CC4-5D6E-409C-BE32-E72D297353CC}">
              <c16:uniqueId val="{00000000-08E1-473A-A2A3-6AF185E2DB59}"/>
            </c:ext>
          </c:extLst>
        </c:ser>
        <c:dLbls>
          <c:showLegendKey val="0"/>
          <c:showVal val="1"/>
          <c:showCatName val="0"/>
          <c:showSerName val="0"/>
          <c:showPercent val="0"/>
          <c:showBubbleSize val="0"/>
        </c:dLbls>
        <c:gapWidth val="150"/>
        <c:shape val="box"/>
        <c:axId val="1573903247"/>
        <c:axId val="1492623279"/>
        <c:axId val="0"/>
      </c:bar3DChart>
      <c:catAx>
        <c:axId val="1573903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623279"/>
        <c:crosses val="autoZero"/>
        <c:auto val="1"/>
        <c:lblAlgn val="ctr"/>
        <c:lblOffset val="100"/>
        <c:noMultiLvlLbl val="0"/>
      </c:catAx>
      <c:valAx>
        <c:axId val="14926232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90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[Retail_Sales_Analysis_Dashboard.xlsx]sheet 4!PivotTable4</c:name>
    <c:fmtId val="7"/>
  </c:pivotSource>
  <c:chart>
    <c:title>
      <c:tx>
        <c:rich>
          <a:bodyPr rot="0" spcFirstLastPara="1" vertOverflow="ellipsis" vert="horz" wrap="square" anchor="ctr" anchorCtr="1"/>
          <a:lstStyle/>
          <a:p>
            <a:pPr>
              <a:defRPr sz="1400" b="1" i="0" u="none" strike="noStrike" kern="1200" baseline="0">
                <a:solidFill>
                  <a:schemeClr val="lt1">
                    <a:lumMod val="85000"/>
                  </a:schemeClr>
                </a:solidFill>
                <a:latin typeface="+mj-lt"/>
                <a:ea typeface="+mj-ea"/>
                <a:cs typeface="+mj-cs"/>
              </a:defRPr>
            </a:pPr>
            <a:r>
              <a:rPr lang="en-US" sz="1400"/>
              <a:t>SALES</a:t>
            </a:r>
            <a:r>
              <a:rPr lang="en-US" sz="1400" baseline="0"/>
              <a:t> BY STORE TYPE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3683007366013"/>
          <c:y val="0.25260964411110881"/>
          <c:w val="0.61991586233172469"/>
          <c:h val="0.5210167660440862"/>
        </c:manualLayout>
      </c:layout>
      <c:barChart>
        <c:barDir val="col"/>
        <c:grouping val="clustered"/>
        <c:varyColors val="0"/>
        <c:ser>
          <c:idx val="0"/>
          <c:order val="0"/>
          <c:tx>
            <c:strRef>
              <c:f>'sheet 4'!$B$1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4'!$A$2:$A$5</c:f>
              <c:strCache>
                <c:ptCount val="3"/>
                <c:pt idx="0">
                  <c:v>Local Store</c:v>
                </c:pt>
                <c:pt idx="1">
                  <c:v>Mall Store</c:v>
                </c:pt>
                <c:pt idx="2">
                  <c:v>Supermarket</c:v>
                </c:pt>
              </c:strCache>
            </c:strRef>
          </c:cat>
          <c:val>
            <c:numRef>
              <c:f>'sheet 4'!$B$2:$B$5</c:f>
              <c:numCache>
                <c:formatCode>General</c:formatCode>
                <c:ptCount val="3"/>
                <c:pt idx="0">
                  <c:v>5720</c:v>
                </c:pt>
                <c:pt idx="1">
                  <c:v>359800</c:v>
                </c:pt>
                <c:pt idx="2">
                  <c:v>15830</c:v>
                </c:pt>
              </c:numCache>
            </c:numRef>
          </c:val>
          <c:extLst>
            <c:ext xmlns:c16="http://schemas.microsoft.com/office/drawing/2014/chart" uri="{C3380CC4-5D6E-409C-BE32-E72D297353CC}">
              <c16:uniqueId val="{00000000-7C21-41FC-B390-A2E258A488CE}"/>
            </c:ext>
          </c:extLst>
        </c:ser>
        <c:dLbls>
          <c:showLegendKey val="0"/>
          <c:showVal val="1"/>
          <c:showCatName val="0"/>
          <c:showSerName val="0"/>
          <c:showPercent val="0"/>
          <c:showBubbleSize val="0"/>
        </c:dLbls>
        <c:gapWidth val="150"/>
        <c:axId val="1679247647"/>
        <c:axId val="1492711119"/>
      </c:barChart>
      <c:catAx>
        <c:axId val="1679247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92711119"/>
        <c:crosses val="autoZero"/>
        <c:auto val="1"/>
        <c:lblAlgn val="ctr"/>
        <c:lblOffset val="100"/>
        <c:noMultiLvlLbl val="0"/>
      </c:catAx>
      <c:valAx>
        <c:axId val="14927111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4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571500</xdr:colOff>
      <xdr:row>1</xdr:row>
      <xdr:rowOff>69850</xdr:rowOff>
    </xdr:from>
    <xdr:to>
      <xdr:col>10</xdr:col>
      <xdr:colOff>266700</xdr:colOff>
      <xdr:row>16</xdr:row>
      <xdr:rowOff>50800</xdr:rowOff>
    </xdr:to>
    <xdr:graphicFrame macro="">
      <xdr:nvGraphicFramePr>
        <xdr:cNvPr id="2" name="Chart 1">
          <a:extLst>
            <a:ext uri="{FF2B5EF4-FFF2-40B4-BE49-F238E27FC236}">
              <a16:creationId xmlns:a16="http://schemas.microsoft.com/office/drawing/2014/main" id="{A9CC6B3C-05D4-A2C1-A3C1-B4409FCD7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346075</xdr:colOff>
      <xdr:row>1</xdr:row>
      <xdr:rowOff>12700</xdr:rowOff>
    </xdr:from>
    <xdr:to>
      <xdr:col>11</xdr:col>
      <xdr:colOff>41275</xdr:colOff>
      <xdr:row>15</xdr:row>
      <xdr:rowOff>177800</xdr:rowOff>
    </xdr:to>
    <xdr:graphicFrame macro="">
      <xdr:nvGraphicFramePr>
        <xdr:cNvPr id="2" name="Chart 1">
          <a:extLst>
            <a:ext uri="{FF2B5EF4-FFF2-40B4-BE49-F238E27FC236}">
              <a16:creationId xmlns:a16="http://schemas.microsoft.com/office/drawing/2014/main" id="{FDEC60F3-E190-B837-7364-120CBF706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1165225</xdr:colOff>
      <xdr:row>2</xdr:row>
      <xdr:rowOff>82550</xdr:rowOff>
    </xdr:from>
    <xdr:to>
      <xdr:col>9</xdr:col>
      <xdr:colOff>193675</xdr:colOff>
      <xdr:row>17</xdr:row>
      <xdr:rowOff>63500</xdr:rowOff>
    </xdr:to>
    <xdr:graphicFrame macro="">
      <xdr:nvGraphicFramePr>
        <xdr:cNvPr id="2" name="Chart 1">
          <a:extLst>
            <a:ext uri="{FF2B5EF4-FFF2-40B4-BE49-F238E27FC236}">
              <a16:creationId xmlns:a16="http://schemas.microsoft.com/office/drawing/2014/main" id="{5BCD319B-9F2C-A7F9-025F-6884D8933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1165225</xdr:colOff>
      <xdr:row>2</xdr:row>
      <xdr:rowOff>82550</xdr:rowOff>
    </xdr:from>
    <xdr:to>
      <xdr:col>9</xdr:col>
      <xdr:colOff>193675</xdr:colOff>
      <xdr:row>17</xdr:row>
      <xdr:rowOff>63500</xdr:rowOff>
    </xdr:to>
    <xdr:graphicFrame macro="">
      <xdr:nvGraphicFramePr>
        <xdr:cNvPr id="2" name="Chart 1">
          <a:extLst>
            <a:ext uri="{FF2B5EF4-FFF2-40B4-BE49-F238E27FC236}">
              <a16:creationId xmlns:a16="http://schemas.microsoft.com/office/drawing/2014/main" id="{41EC41D3-1A7F-81A9-BA7C-F8FB9D61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0</xdr:row>
      <xdr:rowOff>0</xdr:rowOff>
    </xdr:from>
    <xdr:to>
      <xdr:col>11</xdr:col>
      <xdr:colOff>76200</xdr:colOff>
      <xdr:row>14</xdr:row>
      <xdr:rowOff>165100</xdr:rowOff>
    </xdr:to>
    <xdr:graphicFrame macro="">
      <xdr:nvGraphicFramePr>
        <xdr:cNvPr id="2" name="Chart 1">
          <a:extLst>
            <a:ext uri="{FF2B5EF4-FFF2-40B4-BE49-F238E27FC236}">
              <a16:creationId xmlns:a16="http://schemas.microsoft.com/office/drawing/2014/main" id="{F3AE4E1C-DFAC-032B-5901-6D217C141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82550</xdr:colOff>
      <xdr:row>1</xdr:row>
      <xdr:rowOff>38100</xdr:rowOff>
    </xdr:from>
    <xdr:to>
      <xdr:col>4</xdr:col>
      <xdr:colOff>298450</xdr:colOff>
      <xdr:row>3</xdr:row>
      <xdr:rowOff>50800</xdr:rowOff>
    </xdr:to>
    <xdr:sp macro="" textlink="analysis!A3:B3">
      <xdr:nvSpPr>
        <xdr:cNvPr id="3" name="Rectangle: Rounded Corners 2">
          <a:extLst>
            <a:ext uri="{FF2B5EF4-FFF2-40B4-BE49-F238E27FC236}">
              <a16:creationId xmlns:a16="http://schemas.microsoft.com/office/drawing/2014/main" id="{CD7DBF5A-F66E-4AED-B1A1-BAD2D0A1161F}"/>
            </a:ext>
          </a:extLst>
        </xdr:cNvPr>
        <xdr:cNvSpPr/>
      </xdr:nvSpPr>
      <xdr:spPr>
        <a:xfrm>
          <a:off x="82550" y="368300"/>
          <a:ext cx="26543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B9D5EAFC-429D-4573-B989-50CA551757CF}"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$381,350</a:t>
          </a:fld>
          <a:endPar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228600</xdr:colOff>
      <xdr:row>1</xdr:row>
      <xdr:rowOff>44450</xdr:rowOff>
    </xdr:from>
    <xdr:to>
      <xdr:col>14</xdr:col>
      <xdr:colOff>165100</xdr:colOff>
      <xdr:row>3</xdr:row>
      <xdr:rowOff>76200</xdr:rowOff>
    </xdr:to>
    <xdr:sp macro="" textlink="analysis!C3:D3">
      <xdr:nvSpPr>
        <xdr:cNvPr id="4" name="Rectangle: Rounded Corners 3">
          <a:extLst>
            <a:ext uri="{FF2B5EF4-FFF2-40B4-BE49-F238E27FC236}">
              <a16:creationId xmlns:a16="http://schemas.microsoft.com/office/drawing/2014/main" id="{673ED66E-48BE-4D28-ABA9-9D9E43CFCDEC}"/>
            </a:ext>
          </a:extLst>
        </xdr:cNvPr>
        <xdr:cNvSpPr/>
      </xdr:nvSpPr>
      <xdr:spPr>
        <a:xfrm>
          <a:off x="5715000" y="374650"/>
          <a:ext cx="2984500"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6FCC985-B16D-4BBF-BE77-71AEEC273467}"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241</a:t>
          </a:fld>
          <a:endPar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406400</xdr:colOff>
      <xdr:row>1</xdr:row>
      <xdr:rowOff>50800</xdr:rowOff>
    </xdr:from>
    <xdr:to>
      <xdr:col>9</xdr:col>
      <xdr:colOff>88900</xdr:colOff>
      <xdr:row>3</xdr:row>
      <xdr:rowOff>63500</xdr:rowOff>
    </xdr:to>
    <xdr:sp macro="" textlink="analysis!B3:C3">
      <xdr:nvSpPr>
        <xdr:cNvPr id="5" name="Rectangle: Rounded Corners 4">
          <a:extLst>
            <a:ext uri="{FF2B5EF4-FFF2-40B4-BE49-F238E27FC236}">
              <a16:creationId xmlns:a16="http://schemas.microsoft.com/office/drawing/2014/main" id="{D0FA4CDF-70F5-4832-B250-E135C39C9071}"/>
            </a:ext>
          </a:extLst>
        </xdr:cNvPr>
        <xdr:cNvSpPr/>
      </xdr:nvSpPr>
      <xdr:spPr>
        <a:xfrm>
          <a:off x="2844800" y="381000"/>
          <a:ext cx="2730500" cy="381000"/>
        </a:xfrm>
        <a:prstGeom prst="roundRect">
          <a:avLst>
            <a:gd name="adj" fmla="val 10417"/>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5BD8BB9C-BE31-4FEA-B710-014965E7988A}"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50</a:t>
          </a:fld>
          <a:endPar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311150</xdr:colOff>
      <xdr:row>1</xdr:row>
      <xdr:rowOff>44450</xdr:rowOff>
    </xdr:from>
    <xdr:to>
      <xdr:col>18</xdr:col>
      <xdr:colOff>628650</xdr:colOff>
      <xdr:row>3</xdr:row>
      <xdr:rowOff>76200</xdr:rowOff>
    </xdr:to>
    <xdr:sp macro="" textlink="analysis!D3:E3">
      <xdr:nvSpPr>
        <xdr:cNvPr id="7" name="Rectangle: Rounded Corners 6">
          <a:extLst>
            <a:ext uri="{FF2B5EF4-FFF2-40B4-BE49-F238E27FC236}">
              <a16:creationId xmlns:a16="http://schemas.microsoft.com/office/drawing/2014/main" id="{06578288-794C-4349-A39D-EABD516FB460}"/>
            </a:ext>
          </a:extLst>
        </xdr:cNvPr>
        <xdr:cNvSpPr/>
      </xdr:nvSpPr>
      <xdr:spPr>
        <a:xfrm>
          <a:off x="8845550" y="374650"/>
          <a:ext cx="2755900"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D52C1115-41AF-4166-92A8-0587E925D6D8}"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$7,627</a:t>
          </a:fld>
          <a:endPar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304800</xdr:colOff>
      <xdr:row>1</xdr:row>
      <xdr:rowOff>6350</xdr:rowOff>
    </xdr:from>
    <xdr:to>
      <xdr:col>4</xdr:col>
      <xdr:colOff>12700</xdr:colOff>
      <xdr:row>2</xdr:row>
      <xdr:rowOff>88900</xdr:rowOff>
    </xdr:to>
    <xdr:sp macro="" textlink="">
      <xdr:nvSpPr>
        <xdr:cNvPr id="8" name="TextBox 7">
          <a:extLst>
            <a:ext uri="{FF2B5EF4-FFF2-40B4-BE49-F238E27FC236}">
              <a16:creationId xmlns:a16="http://schemas.microsoft.com/office/drawing/2014/main" id="{3D042BDB-4A5D-C2A2-65C1-640D75A40E60}"/>
            </a:ext>
          </a:extLst>
        </xdr:cNvPr>
        <xdr:cNvSpPr txBox="1"/>
      </xdr:nvSpPr>
      <xdr:spPr>
        <a:xfrm>
          <a:off x="304800" y="336550"/>
          <a:ext cx="214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solidFill>
                <a:schemeClr val="bg1"/>
              </a:solidFill>
              <a:latin typeface="Arial Black" panose="020B0A04020102020204" pitchFamily="34" charset="0"/>
            </a:rPr>
            <a:t>Total sales</a:t>
          </a:r>
        </a:p>
      </xdr:txBody>
    </xdr:sp>
    <xdr:clientData/>
  </xdr:twoCellAnchor>
  <xdr:twoCellAnchor>
    <xdr:from>
      <xdr:col>5</xdr:col>
      <xdr:colOff>285750</xdr:colOff>
      <xdr:row>14</xdr:row>
      <xdr:rowOff>171450</xdr:rowOff>
    </xdr:from>
    <xdr:to>
      <xdr:col>11</xdr:col>
      <xdr:colOff>0</xdr:colOff>
      <xdr:row>28</xdr:row>
      <xdr:rowOff>19050</xdr:rowOff>
    </xdr:to>
    <xdr:graphicFrame macro="">
      <xdr:nvGraphicFramePr>
        <xdr:cNvPr id="11" name="Chart 10">
          <a:extLst>
            <a:ext uri="{FF2B5EF4-FFF2-40B4-BE49-F238E27FC236}">
              <a16:creationId xmlns:a16="http://schemas.microsoft.com/office/drawing/2014/main" id="{9415BF58-5D63-4AE5-8C4E-83BEAE583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69850</xdr:colOff>
      <xdr:row>14</xdr:row>
      <xdr:rowOff>171450</xdr:rowOff>
    </xdr:from>
    <xdr:to>
      <xdr:col>19</xdr:col>
      <xdr:colOff>107950</xdr:colOff>
      <xdr:row>28</xdr:row>
      <xdr:rowOff>0</xdr:rowOff>
    </xdr:to>
    <xdr:graphicFrame macro="">
      <xdr:nvGraphicFramePr>
        <xdr:cNvPr id="12" name="Chart 11">
          <a:extLst>
            <a:ext uri="{FF2B5EF4-FFF2-40B4-BE49-F238E27FC236}">
              <a16:creationId xmlns:a16="http://schemas.microsoft.com/office/drawing/2014/main" id="{C8DD4592-CE9F-4E6D-AF1A-B2F4198A4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3</xdr:row>
      <xdr:rowOff>114300</xdr:rowOff>
    </xdr:from>
    <xdr:to>
      <xdr:col>5</xdr:col>
      <xdr:colOff>190500</xdr:colOff>
      <xdr:row>14</xdr:row>
      <xdr:rowOff>107950</xdr:rowOff>
    </xdr:to>
    <xdr:graphicFrame macro="">
      <xdr:nvGraphicFramePr>
        <xdr:cNvPr id="15" name="Chart 14">
          <a:extLst>
            <a:ext uri="{FF2B5EF4-FFF2-40B4-BE49-F238E27FC236}">
              <a16:creationId xmlns:a16="http://schemas.microsoft.com/office/drawing/2014/main" id="{1D8359EA-4C8A-4245-96E0-ECDC36D2A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254000</xdr:colOff>
      <xdr:row>3</xdr:row>
      <xdr:rowOff>120650</xdr:rowOff>
    </xdr:from>
    <xdr:to>
      <xdr:col>10</xdr:col>
      <xdr:colOff>577850</xdr:colOff>
      <xdr:row>14</xdr:row>
      <xdr:rowOff>101600</xdr:rowOff>
    </xdr:to>
    <xdr:graphicFrame macro="">
      <xdr:nvGraphicFramePr>
        <xdr:cNvPr id="16" name="Chart 15">
          <a:extLst>
            <a:ext uri="{FF2B5EF4-FFF2-40B4-BE49-F238E27FC236}">
              <a16:creationId xmlns:a16="http://schemas.microsoft.com/office/drawing/2014/main" id="{F0A8ECAC-B461-46CC-8511-330057CE5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69850</xdr:colOff>
      <xdr:row>15</xdr:row>
      <xdr:rowOff>6350</xdr:rowOff>
    </xdr:from>
    <xdr:to>
      <xdr:col>5</xdr:col>
      <xdr:colOff>171450</xdr:colOff>
      <xdr:row>28</xdr:row>
      <xdr:rowOff>19050</xdr:rowOff>
    </xdr:to>
    <xdr:graphicFrame macro="">
      <xdr:nvGraphicFramePr>
        <xdr:cNvPr id="17" name="Chart 16">
          <a:extLst>
            <a:ext uri="{FF2B5EF4-FFF2-40B4-BE49-F238E27FC236}">
              <a16:creationId xmlns:a16="http://schemas.microsoft.com/office/drawing/2014/main" id="{469368F5-A747-4CB6-A416-86480398F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38100</xdr:colOff>
      <xdr:row>3</xdr:row>
      <xdr:rowOff>114300</xdr:rowOff>
    </xdr:from>
    <xdr:to>
      <xdr:col>13</xdr:col>
      <xdr:colOff>544830</xdr:colOff>
      <xdr:row>14</xdr:row>
      <xdr:rowOff>82550</xdr:rowOff>
    </xdr:to>
    <mc:AlternateContent xmlns:mc="http://schemas.openxmlformats.org/markup-compatibility/2006" xmlns:a14="http://schemas.microsoft.com/office/drawing/2010/main">
      <mc:Choice Requires="a14">
        <xdr:graphicFrame macro="">
          <xdr:nvGraphicFramePr>
            <xdr:cNvPr id="18" name="product_category">
              <a:extLst>
                <a:ext uri="{FF2B5EF4-FFF2-40B4-BE49-F238E27FC236}">
                  <a16:creationId xmlns:a16="http://schemas.microsoft.com/office/drawing/2014/main" id="{B67E23E0-D14D-4B09-ACAB-ACE569D3EF1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807200" y="908050"/>
              <a:ext cx="1701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127000</xdr:colOff>
      <xdr:row>3</xdr:row>
      <xdr:rowOff>127000</xdr:rowOff>
    </xdr:from>
    <xdr:to>
      <xdr:col>18</xdr:col>
      <xdr:colOff>723900</xdr:colOff>
      <xdr:row>14</xdr:row>
      <xdr:rowOff>76200</xdr:rowOff>
    </xdr:to>
    <mc:AlternateContent xmlns:mc="http://schemas.openxmlformats.org/markup-compatibility/2006" xmlns:a14="http://schemas.microsoft.com/office/drawing/2010/main">
      <mc:Choice Requires="a14">
        <xdr:graphicFrame macro="">
          <xdr:nvGraphicFramePr>
            <xdr:cNvPr id="19" name="payment_method">
              <a:extLst>
                <a:ext uri="{FF2B5EF4-FFF2-40B4-BE49-F238E27FC236}">
                  <a16:creationId xmlns:a16="http://schemas.microsoft.com/office/drawing/2014/main" id="{8EFE2394-2077-4C8B-990C-B6BB44099AA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880600" y="882650"/>
              <a:ext cx="1860550" cy="189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603250</xdr:colOff>
      <xdr:row>3</xdr:row>
      <xdr:rowOff>114300</xdr:rowOff>
    </xdr:from>
    <xdr:to>
      <xdr:col>16</xdr:col>
      <xdr:colOff>54610</xdr:colOff>
      <xdr:row>14</xdr:row>
      <xdr:rowOff>82550</xdr:rowOff>
    </xdr:to>
    <mc:AlternateContent xmlns:mc="http://schemas.openxmlformats.org/markup-compatibility/2006" xmlns:a14="http://schemas.microsoft.com/office/drawing/2010/main">
      <mc:Choice Requires="a14">
        <xdr:graphicFrame macro="">
          <xdr:nvGraphicFramePr>
            <xdr:cNvPr id="20" name="store_type">
              <a:extLst>
                <a:ext uri="{FF2B5EF4-FFF2-40B4-BE49-F238E27FC236}">
                  <a16:creationId xmlns:a16="http://schemas.microsoft.com/office/drawing/2014/main" id="{EB6B2A5B-49E0-4CED-8575-82B008EB1DEC}"/>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528050" y="812800"/>
              <a:ext cx="128016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292100</xdr:colOff>
      <xdr:row>1</xdr:row>
      <xdr:rowOff>25400</xdr:rowOff>
    </xdr:from>
    <xdr:to>
      <xdr:col>8</xdr:col>
      <xdr:colOff>304800</xdr:colOff>
      <xdr:row>2</xdr:row>
      <xdr:rowOff>69850</xdr:rowOff>
    </xdr:to>
    <xdr:sp macro="" textlink="">
      <xdr:nvSpPr>
        <xdr:cNvPr id="2" name="TextBox 1">
          <a:extLst>
            <a:ext uri="{FF2B5EF4-FFF2-40B4-BE49-F238E27FC236}">
              <a16:creationId xmlns:a16="http://schemas.microsoft.com/office/drawing/2014/main" id="{19B663D2-E2F9-5399-F4DE-ADC1D3AD0B8E}"/>
            </a:ext>
          </a:extLst>
        </xdr:cNvPr>
        <xdr:cNvSpPr txBox="1"/>
      </xdr:nvSpPr>
      <xdr:spPr>
        <a:xfrm>
          <a:off x="3340100" y="355600"/>
          <a:ext cx="184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rial Black" panose="020B0A04020102020204" pitchFamily="34" charset="0"/>
            </a:rPr>
            <a:t>Total Orders</a:t>
          </a:r>
        </a:p>
      </xdr:txBody>
    </xdr:sp>
    <xdr:clientData/>
  </xdr:twoCellAnchor>
  <xdr:twoCellAnchor>
    <xdr:from>
      <xdr:col>10</xdr:col>
      <xdr:colOff>247650</xdr:colOff>
      <xdr:row>1</xdr:row>
      <xdr:rowOff>50800</xdr:rowOff>
    </xdr:from>
    <xdr:to>
      <xdr:col>13</xdr:col>
      <xdr:colOff>203200</xdr:colOff>
      <xdr:row>2</xdr:row>
      <xdr:rowOff>82550</xdr:rowOff>
    </xdr:to>
    <xdr:sp macro="" textlink="">
      <xdr:nvSpPr>
        <xdr:cNvPr id="6" name="TextBox 5">
          <a:extLst>
            <a:ext uri="{FF2B5EF4-FFF2-40B4-BE49-F238E27FC236}">
              <a16:creationId xmlns:a16="http://schemas.microsoft.com/office/drawing/2014/main" id="{0A59760C-D5EF-01D7-545D-21A21EB3F79D}"/>
            </a:ext>
          </a:extLst>
        </xdr:cNvPr>
        <xdr:cNvSpPr txBox="1"/>
      </xdr:nvSpPr>
      <xdr:spPr>
        <a:xfrm>
          <a:off x="6343650" y="381000"/>
          <a:ext cx="1784350" cy="215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US" sz="1200" b="1" i="0" u="none" strike="noStrike">
              <a:solidFill>
                <a:schemeClr val="bg1"/>
              </a:solidFill>
              <a:latin typeface="Arial Black" panose="020B0A04020102020204" pitchFamily="34" charset="0"/>
              <a:ea typeface="Calibri" panose="020F0502020204030204" pitchFamily="34" charset="0"/>
              <a:cs typeface="Calibri" panose="020F0502020204030204" pitchFamily="34" charset="0"/>
            </a:rPr>
            <a:t>Total quantity sold</a:t>
          </a:r>
        </a:p>
      </xdr:txBody>
    </xdr:sp>
    <xdr:clientData/>
  </xdr:twoCellAnchor>
  <xdr:twoCellAnchor>
    <xdr:from>
      <xdr:col>15</xdr:col>
      <xdr:colOff>69850</xdr:colOff>
      <xdr:row>0</xdr:row>
      <xdr:rowOff>311150</xdr:rowOff>
    </xdr:from>
    <xdr:to>
      <xdr:col>18</xdr:col>
      <xdr:colOff>298450</xdr:colOff>
      <xdr:row>2</xdr:row>
      <xdr:rowOff>76200</xdr:rowOff>
    </xdr:to>
    <xdr:sp macro="" textlink="">
      <xdr:nvSpPr>
        <xdr:cNvPr id="9" name="TextBox 8">
          <a:extLst>
            <a:ext uri="{FF2B5EF4-FFF2-40B4-BE49-F238E27FC236}">
              <a16:creationId xmlns:a16="http://schemas.microsoft.com/office/drawing/2014/main" id="{F3775D29-4B7B-E7B9-4E73-9AEABC1A7668}"/>
            </a:ext>
          </a:extLst>
        </xdr:cNvPr>
        <xdr:cNvSpPr txBox="1"/>
      </xdr:nvSpPr>
      <xdr:spPr>
        <a:xfrm>
          <a:off x="9213850" y="311150"/>
          <a:ext cx="2057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rial Black" panose="020B0A04020102020204" pitchFamily="34" charset="0"/>
            </a:rPr>
            <a:t>Average Order Value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818365277781" createdVersion="8" refreshedVersion="8" minRefreshableVersion="3" recordCount="50" xr:uid="{078137DF-B38D-4268-BA1C-43183FD3308B}">
  <cacheSource type="worksheet">
    <worksheetSource name="Data"/>
  </cacheSource>
  <cacheFields count="10">
    <cacheField name="bill_id" numFmtId="0">
      <sharedItems containsSemiMixedTypes="0" containsString="0" containsNumber="1" containsInteger="1" minValue="1001" maxValue="1050"/>
    </cacheField>
    <cacheField name="customer_name" numFmtId="0">
      <sharedItems/>
    </cacheField>
    <cacheField name="city" numFmtId="0">
      <sharedItems count="49">
        <s v="Delhi"/>
        <s v="Mumbai"/>
        <s v="Ahmedabad"/>
        <s v="Lucknow"/>
        <s v="Patna"/>
        <s v="Pune"/>
        <s v="Jaipur"/>
        <s v="Indore"/>
        <s v="Bhopal"/>
        <s v="Kolkata"/>
        <s v="Kanpur"/>
        <s v="Udaipur"/>
        <s v="Noida"/>
        <s v="Agra"/>
        <s v="Gurgaon"/>
        <s v="Jodhpur"/>
        <s v="Rewa"/>
        <s v="Chandigarh"/>
        <s v="Faridabad"/>
        <s v="Nagpur"/>
        <s v="Varanasi"/>
        <s v="Ratlam"/>
        <s v="Meerut"/>
        <s v="Amritsar"/>
        <s v="Nashik"/>
        <s v="Solapur"/>
        <s v="Kota"/>
        <s v="Prayagraj"/>
        <s v="Hisar"/>
        <s v="Kolhapur"/>
        <s v="Rohtak"/>
        <s v="Panipat"/>
        <s v="Ludhiana"/>
        <s v="Gwalior"/>
        <s v="Surat"/>
        <s v="Bilaspur"/>
        <s v="Panchkula"/>
        <s v="Kochi"/>
        <s v="Trivandrum"/>
        <s v="Hyderabad"/>
        <s v="Chennai"/>
        <s v="Satara"/>
        <s v="Sangli"/>
        <s v="Dehradun"/>
        <s v="Gorakhpur"/>
        <s v="Rajkot"/>
        <s v="Bengaluru"/>
        <s v="Mangalore"/>
        <s v="Siliguri"/>
      </sharedItems>
    </cacheField>
    <cacheField name="product_category" numFmtId="0">
      <sharedItems count="4">
        <s v="Grocery"/>
        <s v="Electronics"/>
        <s v="Clothing"/>
        <s v="Stationery"/>
      </sharedItems>
    </cacheField>
    <cacheField name="quantity" numFmtId="0">
      <sharedItems containsSemiMixedTypes="0" containsString="0" containsNumber="1" containsInteger="1" minValue="1" maxValue="12"/>
    </cacheField>
    <cacheField name="total_amount" numFmtId="0">
      <sharedItems containsSemiMixedTypes="0" containsString="0" containsNumber="1" containsInteger="1" minValue="420" maxValue="40000"/>
    </cacheField>
    <cacheField name="payment_method" numFmtId="0">
      <sharedItems count="4">
        <s v="UPI"/>
        <s v="Credit Card"/>
        <s v="Cash"/>
        <s v="Debit Card"/>
      </sharedItems>
    </cacheField>
    <cacheField name="store_type" numFmtId="0">
      <sharedItems count="3">
        <s v="Supermarket"/>
        <s v="Mall Store"/>
        <s v="Local Store"/>
      </sharedItems>
    </cacheField>
    <cacheField name="visit_date" numFmtId="164">
      <sharedItems containsDate="1" containsMixedTypes="1" minDate="2025-05-01T00:00:00" maxDate="2025-12-02T00:00:00" count="17">
        <d v="2025-05-01T00:00:00"/>
        <d v="2025-06-01T00:00:00"/>
        <d v="2025-07-01T00:00:00"/>
        <d v="2025-08-01T00:00:00"/>
        <d v="2025-09-01T00:00:00"/>
        <d v="2025-10-01T00:00:00"/>
        <d v="2025-11-01T00:00:00"/>
        <d v="2025-12-01T00:00:00"/>
        <s v="13-01-2025"/>
        <s v="14-01-2025"/>
        <s v="15-01-2025"/>
        <s v="16-01-2025"/>
        <s v="17-01-2025"/>
        <s v="18-01-2025"/>
        <s v="19-01-2025"/>
        <s v="20-01-2025"/>
        <s v="21-01-2025"/>
      </sharedItems>
      <fieldGroup par="9"/>
    </cacheField>
    <cacheField name="visit_date2" numFmtId="0" databaseField="0">
      <fieldGroup base="8">
        <discretePr count="17">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916357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Rahul Sharma"/>
    <x v="0"/>
    <x v="0"/>
    <n v="5"/>
    <n v="850"/>
    <x v="0"/>
    <x v="0"/>
    <x v="0"/>
  </r>
  <r>
    <n v="1002"/>
    <s v="Priya Verma"/>
    <x v="1"/>
    <x v="1"/>
    <n v="1"/>
    <n v="32000"/>
    <x v="1"/>
    <x v="1"/>
    <x v="0"/>
  </r>
  <r>
    <n v="1003"/>
    <s v="Amit Patel"/>
    <x v="2"/>
    <x v="2"/>
    <n v="3"/>
    <n v="4500"/>
    <x v="0"/>
    <x v="1"/>
    <x v="1"/>
  </r>
  <r>
    <n v="1004"/>
    <s v="Neha Singh"/>
    <x v="3"/>
    <x v="0"/>
    <n v="8"/>
    <n v="1200"/>
    <x v="2"/>
    <x v="0"/>
    <x v="1"/>
  </r>
  <r>
    <n v="1005"/>
    <s v="Rohit Kumar"/>
    <x v="4"/>
    <x v="3"/>
    <n v="10"/>
    <n v="600"/>
    <x v="0"/>
    <x v="2"/>
    <x v="1"/>
  </r>
  <r>
    <n v="1006"/>
    <s v="Anjali Mehta"/>
    <x v="5"/>
    <x v="2"/>
    <n v="2"/>
    <n v="2800"/>
    <x v="3"/>
    <x v="1"/>
    <x v="2"/>
  </r>
  <r>
    <n v="1007"/>
    <s v="Suresh Yadav"/>
    <x v="6"/>
    <x v="1"/>
    <n v="1"/>
    <n v="18000"/>
    <x v="1"/>
    <x v="1"/>
    <x v="2"/>
  </r>
  <r>
    <n v="1008"/>
    <s v="Kavita Joshi"/>
    <x v="7"/>
    <x v="0"/>
    <n v="6"/>
    <n v="900"/>
    <x v="0"/>
    <x v="0"/>
    <x v="2"/>
  </r>
  <r>
    <n v="1009"/>
    <s v="Vikas Mishra"/>
    <x v="8"/>
    <x v="0"/>
    <n v="4"/>
    <n v="700"/>
    <x v="2"/>
    <x v="2"/>
    <x v="3"/>
  </r>
  <r>
    <n v="1010"/>
    <s v="Pooja Agarwal"/>
    <x v="9"/>
    <x v="2"/>
    <n v="5"/>
    <n v="6500"/>
    <x v="0"/>
    <x v="1"/>
    <x v="3"/>
  </r>
  <r>
    <n v="1011"/>
    <s v="Manish Gupta"/>
    <x v="10"/>
    <x v="1"/>
    <n v="1"/>
    <n v="25000"/>
    <x v="1"/>
    <x v="1"/>
    <x v="3"/>
  </r>
  <r>
    <n v="1012"/>
    <s v="Shalini Jain"/>
    <x v="11"/>
    <x v="0"/>
    <n v="7"/>
    <n v="1100"/>
    <x v="0"/>
    <x v="0"/>
    <x v="4"/>
  </r>
  <r>
    <n v="1013"/>
    <s v="Deepak Verma"/>
    <x v="12"/>
    <x v="3"/>
    <n v="6"/>
    <n v="420"/>
    <x v="2"/>
    <x v="2"/>
    <x v="4"/>
  </r>
  <r>
    <n v="1014"/>
    <s v="Ritu Saxena"/>
    <x v="13"/>
    <x v="2"/>
    <n v="4"/>
    <n v="5200"/>
    <x v="3"/>
    <x v="1"/>
    <x v="4"/>
  </r>
  <r>
    <n v="1015"/>
    <s v="Nitin Malhotra"/>
    <x v="14"/>
    <x v="1"/>
    <n v="2"/>
    <n v="40000"/>
    <x v="1"/>
    <x v="1"/>
    <x v="5"/>
  </r>
  <r>
    <n v="1016"/>
    <s v="Sonal Choudhary"/>
    <x v="15"/>
    <x v="0"/>
    <n v="3"/>
    <n v="500"/>
    <x v="2"/>
    <x v="2"/>
    <x v="5"/>
  </r>
  <r>
    <n v="1017"/>
    <s v="Akash Tiwari"/>
    <x v="16"/>
    <x v="0"/>
    <n v="9"/>
    <n v="1350"/>
    <x v="0"/>
    <x v="0"/>
    <x v="5"/>
  </r>
  <r>
    <n v="1018"/>
    <s v="Meena Kapoor"/>
    <x v="17"/>
    <x v="2"/>
    <n v="2"/>
    <n v="3000"/>
    <x v="3"/>
    <x v="1"/>
    <x v="6"/>
  </r>
  <r>
    <n v="1019"/>
    <s v="Kunal Bansal"/>
    <x v="18"/>
    <x v="1"/>
    <n v="1"/>
    <n v="15000"/>
    <x v="1"/>
    <x v="1"/>
    <x v="6"/>
  </r>
  <r>
    <n v="1020"/>
    <s v="Swati Kulkarni"/>
    <x v="19"/>
    <x v="3"/>
    <n v="12"/>
    <n v="720"/>
    <x v="0"/>
    <x v="2"/>
    <x v="6"/>
  </r>
  <r>
    <n v="1021"/>
    <s v="Rakesh Pandey"/>
    <x v="20"/>
    <x v="0"/>
    <n v="6"/>
    <n v="950"/>
    <x v="2"/>
    <x v="0"/>
    <x v="7"/>
  </r>
  <r>
    <n v="1022"/>
    <s v="Isha Malviya"/>
    <x v="21"/>
    <x v="2"/>
    <n v="3"/>
    <n v="4100"/>
    <x v="0"/>
    <x v="1"/>
    <x v="7"/>
  </r>
  <r>
    <n v="1023"/>
    <s v="Harsh Vardhan"/>
    <x v="22"/>
    <x v="1"/>
    <n v="1"/>
    <n v="22000"/>
    <x v="1"/>
    <x v="1"/>
    <x v="7"/>
  </r>
  <r>
    <n v="1024"/>
    <s v="Namita Arora"/>
    <x v="23"/>
    <x v="0"/>
    <n v="5"/>
    <n v="780"/>
    <x v="0"/>
    <x v="0"/>
    <x v="8"/>
  </r>
  <r>
    <n v="1025"/>
    <s v="Sachin Deshmukh"/>
    <x v="24"/>
    <x v="3"/>
    <n v="8"/>
    <n v="560"/>
    <x v="2"/>
    <x v="2"/>
    <x v="8"/>
  </r>
  <r>
    <n v="1026"/>
    <s v="Preeti Kulkarni"/>
    <x v="25"/>
    <x v="0"/>
    <n v="7"/>
    <n v="1050"/>
    <x v="0"/>
    <x v="0"/>
    <x v="8"/>
  </r>
  <r>
    <n v="1027"/>
    <s v="Mohit Jain"/>
    <x v="26"/>
    <x v="2"/>
    <n v="4"/>
    <n v="4800"/>
    <x v="3"/>
    <x v="1"/>
    <x v="9"/>
  </r>
  <r>
    <n v="1028"/>
    <s v="Alok Srivastava"/>
    <x v="27"/>
    <x v="1"/>
    <n v="1"/>
    <n v="28000"/>
    <x v="1"/>
    <x v="1"/>
    <x v="9"/>
  </r>
  <r>
    <n v="1029"/>
    <s v="Sunita Rani"/>
    <x v="28"/>
    <x v="0"/>
    <n v="6"/>
    <n v="900"/>
    <x v="2"/>
    <x v="0"/>
    <x v="9"/>
  </r>
  <r>
    <n v="1030"/>
    <s v="Vinayak Patil"/>
    <x v="29"/>
    <x v="2"/>
    <n v="3"/>
    <n v="3900"/>
    <x v="0"/>
    <x v="1"/>
    <x v="10"/>
  </r>
  <r>
    <n v="1031"/>
    <s v="Pankaj Sharma"/>
    <x v="30"/>
    <x v="3"/>
    <n v="9"/>
    <n v="540"/>
    <x v="2"/>
    <x v="2"/>
    <x v="10"/>
  </r>
  <r>
    <n v="1032"/>
    <s v="Ayesha Khan"/>
    <x v="8"/>
    <x v="0"/>
    <n v="4"/>
    <n v="650"/>
    <x v="0"/>
    <x v="0"/>
    <x v="10"/>
  </r>
  <r>
    <n v="1033"/>
    <s v="Tushar Goyal"/>
    <x v="31"/>
    <x v="1"/>
    <n v="2"/>
    <n v="36000"/>
    <x v="1"/>
    <x v="1"/>
    <x v="11"/>
  </r>
  <r>
    <n v="1034"/>
    <s v="Nisha Bajaj"/>
    <x v="32"/>
    <x v="2"/>
    <n v="5"/>
    <n v="7200"/>
    <x v="3"/>
    <x v="1"/>
    <x v="11"/>
  </r>
  <r>
    <n v="1035"/>
    <s v="Sandeep Rathore"/>
    <x v="33"/>
    <x v="0"/>
    <n v="6"/>
    <n v="980"/>
    <x v="0"/>
    <x v="0"/>
    <x v="11"/>
  </r>
  <r>
    <n v="1036"/>
    <s v="Rupal Shah"/>
    <x v="34"/>
    <x v="2"/>
    <n v="4"/>
    <n v="5600"/>
    <x v="0"/>
    <x v="1"/>
    <x v="12"/>
  </r>
  <r>
    <n v="1037"/>
    <s v="Ajay Thakur"/>
    <x v="35"/>
    <x v="3"/>
    <n v="11"/>
    <n v="660"/>
    <x v="2"/>
    <x v="2"/>
    <x v="12"/>
  </r>
  <r>
    <n v="1038"/>
    <s v="Monika Arora"/>
    <x v="36"/>
    <x v="0"/>
    <n v="5"/>
    <n v="820"/>
    <x v="0"/>
    <x v="0"/>
    <x v="12"/>
  </r>
  <r>
    <n v="1039"/>
    <s v="Prakash Nair"/>
    <x v="37"/>
    <x v="1"/>
    <n v="1"/>
    <n v="26000"/>
    <x v="1"/>
    <x v="1"/>
    <x v="13"/>
  </r>
  <r>
    <n v="1040"/>
    <s v="Lata Menon"/>
    <x v="38"/>
    <x v="2"/>
    <n v="3"/>
    <n v="4300"/>
    <x v="3"/>
    <x v="1"/>
    <x v="13"/>
  </r>
  <r>
    <n v="1041"/>
    <s v="Naveen Reddy"/>
    <x v="39"/>
    <x v="0"/>
    <n v="7"/>
    <n v="1150"/>
    <x v="0"/>
    <x v="0"/>
    <x v="13"/>
  </r>
  <r>
    <n v="1042"/>
    <s v="Karthik Iyer"/>
    <x v="40"/>
    <x v="1"/>
    <n v="1"/>
    <n v="30000"/>
    <x v="1"/>
    <x v="1"/>
    <x v="14"/>
  </r>
  <r>
    <n v="1043"/>
    <s v="Sneha Kulkarni"/>
    <x v="41"/>
    <x v="3"/>
    <n v="10"/>
    <n v="600"/>
    <x v="2"/>
    <x v="2"/>
    <x v="14"/>
  </r>
  <r>
    <n v="1044"/>
    <s v="Ramesh Pawar"/>
    <x v="42"/>
    <x v="0"/>
    <n v="6"/>
    <n v="900"/>
    <x v="0"/>
    <x v="0"/>
    <x v="14"/>
  </r>
  <r>
    <n v="1045"/>
    <s v="Divya Joshi"/>
    <x v="43"/>
    <x v="2"/>
    <n v="4"/>
    <n v="5100"/>
    <x v="3"/>
    <x v="1"/>
    <x v="15"/>
  </r>
  <r>
    <n v="1046"/>
    <s v="Arvind Mishra"/>
    <x v="44"/>
    <x v="0"/>
    <n v="8"/>
    <n v="1300"/>
    <x v="2"/>
    <x v="0"/>
    <x v="15"/>
  </r>
  <r>
    <n v="1047"/>
    <s v="Bhavesh Modi"/>
    <x v="45"/>
    <x v="1"/>
    <n v="1"/>
    <n v="24000"/>
    <x v="1"/>
    <x v="1"/>
    <x v="15"/>
  </r>
  <r>
    <n v="1048"/>
    <s v="Nandini Rao"/>
    <x v="46"/>
    <x v="2"/>
    <n v="5"/>
    <n v="6800"/>
    <x v="0"/>
    <x v="1"/>
    <x v="16"/>
  </r>
  <r>
    <n v="1049"/>
    <s v="Sanjay Shetty"/>
    <x v="47"/>
    <x v="0"/>
    <n v="6"/>
    <n v="950"/>
    <x v="2"/>
    <x v="0"/>
    <x v="16"/>
  </r>
  <r>
    <n v="1050"/>
    <s v="Pritam Das"/>
    <x v="48"/>
    <x v="3"/>
    <n v="7"/>
    <n v="420"/>
    <x v="0"/>
    <x v="2"/>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35900-8D34-4D3D-9F5E-FEB5E2AD40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0">
    <pivotField showAll="0"/>
    <pivotField showAll="0"/>
    <pivotField showAll="0"/>
    <pivotField axis="axisRow" showAll="0">
      <items count="5">
        <item x="2"/>
        <item x="1"/>
        <item x="0"/>
        <item x="3"/>
        <item t="default"/>
      </items>
    </pivotField>
    <pivotField showAll="0"/>
    <pivotField dataField="1" showAll="0"/>
    <pivotField showAll="0">
      <items count="5">
        <item x="2"/>
        <item x="1"/>
        <item x="3"/>
        <item x="0"/>
        <item t="default"/>
      </items>
    </pivotField>
    <pivotField showAll="0">
      <items count="4">
        <item x="2"/>
        <item x="1"/>
        <item x="0"/>
        <item t="default"/>
      </items>
    </pivotField>
    <pivotField showAll="0">
      <items count="18">
        <item x="8"/>
        <item x="9"/>
        <item x="10"/>
        <item x="11"/>
        <item x="12"/>
        <item x="13"/>
        <item x="14"/>
        <item x="15"/>
        <item x="16"/>
        <item x="0"/>
        <item x="1"/>
        <item x="2"/>
        <item x="3"/>
        <item x="4"/>
        <item x="5"/>
        <item x="6"/>
        <item x="7"/>
        <item t="default"/>
      </items>
    </pivotField>
    <pivotField showAll="0">
      <items count="2">
        <item x="0"/>
        <item t="default"/>
      </items>
    </pivotField>
  </pivotFields>
  <rowFields count="1">
    <field x="3"/>
  </rowFields>
  <rowItems count="5">
    <i>
      <x/>
    </i>
    <i>
      <x v="1"/>
    </i>
    <i>
      <x v="2"/>
    </i>
    <i>
      <x v="3"/>
    </i>
    <i t="grand">
      <x/>
    </i>
  </rowItems>
  <colItems count="1">
    <i/>
  </colItems>
  <dataFields count="1">
    <dataField name="Sum of total_amount"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D3D8B-9F2C-470D-AE79-2F663BEC83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51" firstHeaderRow="1" firstDataRow="1" firstDataCol="1"/>
  <pivotFields count="10">
    <pivotField showAll="0"/>
    <pivotField showAll="0"/>
    <pivotField axis="axisRow" showAll="0">
      <items count="50">
        <item x="13"/>
        <item x="2"/>
        <item x="23"/>
        <item x="46"/>
        <item x="8"/>
        <item x="35"/>
        <item x="17"/>
        <item x="40"/>
        <item x="43"/>
        <item x="0"/>
        <item x="18"/>
        <item x="44"/>
        <item x="14"/>
        <item x="33"/>
        <item x="28"/>
        <item x="39"/>
        <item x="7"/>
        <item x="6"/>
        <item x="15"/>
        <item x="10"/>
        <item x="37"/>
        <item x="29"/>
        <item x="9"/>
        <item x="26"/>
        <item x="3"/>
        <item x="32"/>
        <item x="47"/>
        <item x="22"/>
        <item x="1"/>
        <item x="19"/>
        <item x="24"/>
        <item x="12"/>
        <item x="36"/>
        <item x="31"/>
        <item x="4"/>
        <item x="27"/>
        <item x="5"/>
        <item x="45"/>
        <item x="21"/>
        <item x="16"/>
        <item x="30"/>
        <item x="42"/>
        <item x="41"/>
        <item x="48"/>
        <item x="25"/>
        <item x="34"/>
        <item x="38"/>
        <item x="11"/>
        <item x="20"/>
        <item t="default"/>
      </items>
    </pivotField>
    <pivotField showAll="0">
      <items count="5">
        <item x="2"/>
        <item x="1"/>
        <item x="0"/>
        <item x="3"/>
        <item t="default"/>
      </items>
    </pivotField>
    <pivotField showAll="0"/>
    <pivotField dataField="1" showAll="0"/>
    <pivotField showAll="0">
      <items count="5">
        <item x="2"/>
        <item x="1"/>
        <item x="3"/>
        <item x="0"/>
        <item t="default"/>
      </items>
    </pivotField>
    <pivotField showAll="0">
      <items count="4">
        <item x="2"/>
        <item x="1"/>
        <item x="0"/>
        <item t="default"/>
      </items>
    </pivotField>
    <pivotField showAll="0">
      <items count="18">
        <item x="8"/>
        <item x="9"/>
        <item x="10"/>
        <item x="11"/>
        <item x="12"/>
        <item x="13"/>
        <item x="14"/>
        <item x="15"/>
        <item x="16"/>
        <item x="0"/>
        <item x="1"/>
        <item x="2"/>
        <item x="3"/>
        <item x="4"/>
        <item x="5"/>
        <item x="6"/>
        <item x="7"/>
        <item t="default"/>
      </items>
    </pivotField>
    <pivotField showAll="0">
      <items count="2">
        <item x="0"/>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total_amount"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56DF7-ABAF-4E2C-90A3-1D5E3E6A86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6" firstHeaderRow="1" firstDataRow="1" firstDataCol="1"/>
  <pivotFields count="10">
    <pivotField showAll="0"/>
    <pivotField showAll="0"/>
    <pivotField showAll="0"/>
    <pivotField showAll="0">
      <items count="5">
        <item x="2"/>
        <item x="1"/>
        <item x="0"/>
        <item x="3"/>
        <item t="default"/>
      </items>
    </pivotField>
    <pivotField showAll="0"/>
    <pivotField dataField="1" showAll="0"/>
    <pivotField axis="axisRow" showAll="0">
      <items count="5">
        <item x="2"/>
        <item x="1"/>
        <item x="3"/>
        <item x="0"/>
        <item t="default"/>
      </items>
    </pivotField>
    <pivotField showAll="0">
      <items count="4">
        <item x="2"/>
        <item x="1"/>
        <item x="0"/>
        <item t="default"/>
      </items>
    </pivotField>
    <pivotField showAll="0">
      <items count="18">
        <item x="8"/>
        <item x="9"/>
        <item x="10"/>
        <item x="11"/>
        <item x="12"/>
        <item x="13"/>
        <item x="14"/>
        <item x="15"/>
        <item x="16"/>
        <item x="0"/>
        <item x="1"/>
        <item x="2"/>
        <item x="3"/>
        <item x="4"/>
        <item x="5"/>
        <item x="6"/>
        <item x="7"/>
        <item t="default"/>
      </items>
    </pivotField>
    <pivotField showAll="0">
      <items count="2">
        <item x="0"/>
        <item t="default"/>
      </items>
    </pivotField>
  </pivotFields>
  <rowFields count="1">
    <field x="6"/>
  </rowFields>
  <rowItems count="5">
    <i>
      <x/>
    </i>
    <i>
      <x v="1"/>
    </i>
    <i>
      <x v="2"/>
    </i>
    <i>
      <x v="3"/>
    </i>
    <i t="grand">
      <x/>
    </i>
  </rowItems>
  <colItems count="1">
    <i/>
  </colItems>
  <dataFields count="1">
    <dataField name="Sum of total_amount"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 chart="10" format="13">
      <pivotArea type="data" outline="0" fieldPosition="0">
        <references count="2">
          <reference field="4294967294" count="1" selected="0">
            <x v="0"/>
          </reference>
          <reference field="6" count="1" selected="0">
            <x v="2"/>
          </reference>
        </references>
      </pivotArea>
    </chartFormat>
    <chartFormat chart="10"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0768A-50A8-4031-9ACF-EC6523BBAD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10">
    <pivotField showAll="0"/>
    <pivotField showAll="0"/>
    <pivotField showAll="0"/>
    <pivotField showAll="0">
      <items count="5">
        <item x="2"/>
        <item x="1"/>
        <item x="0"/>
        <item x="3"/>
        <item t="default"/>
      </items>
    </pivotField>
    <pivotField showAll="0"/>
    <pivotField dataField="1" showAll="0"/>
    <pivotField showAll="0">
      <items count="5">
        <item x="2"/>
        <item x="1"/>
        <item x="3"/>
        <item x="0"/>
        <item t="default"/>
      </items>
    </pivotField>
    <pivotField axis="axisRow" showAll="0">
      <items count="4">
        <item x="2"/>
        <item x="1"/>
        <item x="0"/>
        <item t="default"/>
      </items>
    </pivotField>
    <pivotField showAll="0">
      <items count="18">
        <item x="8"/>
        <item x="9"/>
        <item x="10"/>
        <item x="11"/>
        <item x="12"/>
        <item x="13"/>
        <item x="14"/>
        <item x="15"/>
        <item x="16"/>
        <item x="0"/>
        <item x="1"/>
        <item x="2"/>
        <item x="3"/>
        <item x="4"/>
        <item x="5"/>
        <item x="6"/>
        <item x="7"/>
        <item t="default"/>
      </items>
    </pivotField>
    <pivotField showAll="0">
      <items count="2">
        <item x="0"/>
        <item t="default"/>
      </items>
    </pivotField>
  </pivotFields>
  <rowFields count="1">
    <field x="7"/>
  </rowFields>
  <rowItems count="4">
    <i>
      <x/>
    </i>
    <i>
      <x v="1"/>
    </i>
    <i>
      <x v="2"/>
    </i>
    <i t="grand">
      <x/>
    </i>
  </rowItems>
  <colItems count="1">
    <i/>
  </colItems>
  <dataFields count="1">
    <dataField name="Sum of total_amount"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EC731B-393A-479F-8985-494AB15963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9" firstHeaderRow="1" firstDataRow="1" firstDataCol="1"/>
  <pivotFields count="10">
    <pivotField showAll="0"/>
    <pivotField showAll="0"/>
    <pivotField showAll="0"/>
    <pivotField showAll="0">
      <items count="5">
        <item x="2"/>
        <item x="1"/>
        <item x="0"/>
        <item x="3"/>
        <item t="default"/>
      </items>
    </pivotField>
    <pivotField showAll="0"/>
    <pivotField dataField="1" showAll="0"/>
    <pivotField showAll="0">
      <items count="5">
        <item x="2"/>
        <item x="1"/>
        <item x="3"/>
        <item x="0"/>
        <item t="default"/>
      </items>
    </pivotField>
    <pivotField showAll="0">
      <items count="4">
        <item x="2"/>
        <item x="1"/>
        <item x="0"/>
        <item t="default"/>
      </items>
    </pivotField>
    <pivotField axis="axisRow" showAll="0">
      <items count="18">
        <item x="8"/>
        <item x="9"/>
        <item x="10"/>
        <item x="11"/>
        <item x="12"/>
        <item x="13"/>
        <item x="14"/>
        <item x="15"/>
        <item x="16"/>
        <item x="0"/>
        <item x="1"/>
        <item x="2"/>
        <item x="3"/>
        <item x="4"/>
        <item x="5"/>
        <item x="6"/>
        <item x="7"/>
        <item t="default"/>
      </items>
    </pivotField>
    <pivotField showAll="0">
      <items count="2">
        <item x="0"/>
        <item t="default"/>
      </items>
    </pivotField>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total_amount" fld="5" baseField="0" baseItem="0"/>
  </dataFields>
  <formats count="1">
    <format dxfId="0">
      <pivotArea dataOnly="0" labelOnly="1"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87B804-DD75-4478-8C75-0B7E7EEFDB9F}" sourceName="product_category">
  <pivotTables>
    <pivotTable tabId="3" name="PivotTable1"/>
    <pivotTable tabId="4" name="PivotTable2"/>
    <pivotTable tabId="5" name="PivotTable3"/>
    <pivotTable tabId="6" name="PivotTable4"/>
    <pivotTable tabId="7" name="PivotTable5"/>
  </pivotTables>
  <data>
    <tabular pivotCacheId="91635702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E2F3119-D901-4876-AE9B-CAC8E767A129}" sourceName="payment_method">
  <pivotTables>
    <pivotTable tabId="5" name="PivotTable3"/>
    <pivotTable tabId="3" name="PivotTable1"/>
    <pivotTable tabId="4" name="PivotTable2"/>
    <pivotTable tabId="6" name="PivotTable4"/>
    <pivotTable tabId="7" name="PivotTable5"/>
  </pivotTables>
  <data>
    <tabular pivotCacheId="916357025">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43626A58-EA1E-48FD-A32A-DD892113C87E}" sourceName="store_type">
  <pivotTables>
    <pivotTable tabId="6" name="PivotTable4"/>
    <pivotTable tabId="3" name="PivotTable1"/>
    <pivotTable tabId="4" name="PivotTable2"/>
    <pivotTable tabId="5" name="PivotTable3"/>
    <pivotTable tabId="7" name="PivotTable5"/>
  </pivotTables>
  <data>
    <tabular pivotCacheId="9163570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75000471-79D9-40FA-91C3-B77BEDB3CFFC}" cache="Slicer_product_category" caption="product_category" style="SlicerStyleDark1" rowHeight="365760"/>
  <slicer name="payment_method" xr10:uid="{88B83466-282C-4C55-9FA6-7F75A1D35BF1}" cache="Slicer_payment_method" caption="payment_method" style="SlicerStyleDark1" rowHeight="365760"/>
  <slicer name="store_type" xr10:uid="{1F30CA9B-8745-408A-9BCA-E40AEEC06FBA}" cache="Slicer_store_type" caption="store_type" style="SlicerStyleDark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D07FE-10CA-4E42-BF49-4E5C637A6ADF}" name="Data" displayName="Data" ref="A1:I51" totalsRowShown="0" headerRowDxfId="2">
  <autoFilter ref="A1:I51" xr:uid="{187D07FE-10CA-4E42-BF49-4E5C637A6ADF}"/>
  <tableColumns count="9">
    <tableColumn id="1" xr3:uid="{CD9AD4AB-E7EB-470B-A6AD-343A14368D25}" name="bill_id"/>
    <tableColumn id="2" xr3:uid="{D5736129-45E1-4F56-94FE-02245A597E38}" name="customer_name"/>
    <tableColumn id="3" xr3:uid="{FE52416A-19F8-423A-ADA8-1A248E80F79F}" name="city"/>
    <tableColumn id="4" xr3:uid="{CD0C0979-C9E9-4665-ADE7-AE3F01D82276}" name="product_category"/>
    <tableColumn id="5" xr3:uid="{A6F0468F-5ECB-48DB-A09E-598A33FDB9FD}" name="quantity"/>
    <tableColumn id="6" xr3:uid="{DA9E8280-12D0-4A40-A6DB-B716FA636DCF}" name="total_amount"/>
    <tableColumn id="7" xr3:uid="{6401B0F8-0895-4D39-A36E-FC6520F04BBF}" name="payment_method"/>
    <tableColumn id="8" xr3:uid="{88C1C4CC-309B-4A58-A5E9-C2EB1E1A18F8}" name="store_type"/>
    <tableColumn id="9" xr3:uid="{4160E2AA-2B00-44A6-9C64-29B614868EBC}" name="visit_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FED4-394A-4307-9E4C-26E0158C7ABA}">
  <dimension ref="A1:I51"/>
  <sheetViews>
    <sheetView workbookViewId="0">
      <selection activeCell="J10" sqref="J10"/>
    </sheetView>
  </sheetViews>
  <sheetFormatPr defaultRowHeight="14.5" x14ac:dyDescent="0.35"/>
  <cols>
    <col min="2" max="2" width="16.26953125" customWidth="1"/>
    <col min="4" max="4" width="17.26953125" customWidth="1"/>
    <col min="5" max="5" width="9.81640625" customWidth="1"/>
    <col min="6" max="6" width="13.90625" customWidth="1"/>
    <col min="7" max="7" width="17.453125" customWidth="1"/>
    <col min="8" max="8" width="11.453125" customWidth="1"/>
    <col min="9" max="9" width="11.453125" style="1" customWidth="1"/>
  </cols>
  <sheetData>
    <row r="1" spans="1:9" x14ac:dyDescent="0.35">
      <c r="A1" s="2" t="s">
        <v>0</v>
      </c>
      <c r="B1" s="2" t="s">
        <v>1</v>
      </c>
      <c r="C1" s="2" t="s">
        <v>2</v>
      </c>
      <c r="D1" s="2" t="s">
        <v>3</v>
      </c>
      <c r="E1" s="2" t="s">
        <v>4</v>
      </c>
      <c r="F1" s="2" t="s">
        <v>5</v>
      </c>
      <c r="G1" s="2" t="s">
        <v>6</v>
      </c>
      <c r="H1" s="2" t="s">
        <v>7</v>
      </c>
      <c r="I1" s="2" t="s">
        <v>8</v>
      </c>
    </row>
    <row r="2" spans="1:9" x14ac:dyDescent="0.35">
      <c r="A2">
        <v>1001</v>
      </c>
      <c r="B2" t="s">
        <v>9</v>
      </c>
      <c r="C2" t="s">
        <v>10</v>
      </c>
      <c r="D2" t="s">
        <v>11</v>
      </c>
      <c r="E2">
        <v>5</v>
      </c>
      <c r="F2">
        <v>850</v>
      </c>
      <c r="G2" t="s">
        <v>12</v>
      </c>
      <c r="H2" t="s">
        <v>13</v>
      </c>
      <c r="I2" s="4">
        <v>45778</v>
      </c>
    </row>
    <row r="3" spans="1:9" x14ac:dyDescent="0.35">
      <c r="A3">
        <v>1002</v>
      </c>
      <c r="B3" t="s">
        <v>14</v>
      </c>
      <c r="C3" t="s">
        <v>15</v>
      </c>
      <c r="D3" t="s">
        <v>16</v>
      </c>
      <c r="E3">
        <v>1</v>
      </c>
      <c r="F3">
        <v>32000</v>
      </c>
      <c r="G3" t="s">
        <v>17</v>
      </c>
      <c r="H3" t="s">
        <v>18</v>
      </c>
      <c r="I3" s="4">
        <v>45778</v>
      </c>
    </row>
    <row r="4" spans="1:9" x14ac:dyDescent="0.35">
      <c r="A4">
        <v>1003</v>
      </c>
      <c r="B4" t="s">
        <v>19</v>
      </c>
      <c r="C4" t="s">
        <v>20</v>
      </c>
      <c r="D4" t="s">
        <v>21</v>
      </c>
      <c r="E4">
        <v>3</v>
      </c>
      <c r="F4">
        <v>4500</v>
      </c>
      <c r="G4" t="s">
        <v>12</v>
      </c>
      <c r="H4" t="s">
        <v>18</v>
      </c>
      <c r="I4" s="4">
        <v>45809</v>
      </c>
    </row>
    <row r="5" spans="1:9" x14ac:dyDescent="0.35">
      <c r="A5">
        <v>1004</v>
      </c>
      <c r="B5" t="s">
        <v>22</v>
      </c>
      <c r="C5" t="s">
        <v>23</v>
      </c>
      <c r="D5" t="s">
        <v>11</v>
      </c>
      <c r="E5">
        <v>8</v>
      </c>
      <c r="F5">
        <v>1200</v>
      </c>
      <c r="G5" t="s">
        <v>24</v>
      </c>
      <c r="H5" t="s">
        <v>13</v>
      </c>
      <c r="I5" s="4">
        <v>45809</v>
      </c>
    </row>
    <row r="6" spans="1:9" x14ac:dyDescent="0.35">
      <c r="A6">
        <v>1005</v>
      </c>
      <c r="B6" t="s">
        <v>25</v>
      </c>
      <c r="C6" t="s">
        <v>26</v>
      </c>
      <c r="D6" t="s">
        <v>27</v>
      </c>
      <c r="E6">
        <v>10</v>
      </c>
      <c r="F6">
        <v>600</v>
      </c>
      <c r="G6" t="s">
        <v>12</v>
      </c>
      <c r="H6" t="s">
        <v>28</v>
      </c>
      <c r="I6" s="4">
        <v>45809</v>
      </c>
    </row>
    <row r="7" spans="1:9" x14ac:dyDescent="0.35">
      <c r="A7">
        <v>1006</v>
      </c>
      <c r="B7" t="s">
        <v>29</v>
      </c>
      <c r="C7" t="s">
        <v>30</v>
      </c>
      <c r="D7" t="s">
        <v>21</v>
      </c>
      <c r="E7">
        <v>2</v>
      </c>
      <c r="F7">
        <v>2800</v>
      </c>
      <c r="G7" t="s">
        <v>31</v>
      </c>
      <c r="H7" t="s">
        <v>18</v>
      </c>
      <c r="I7" s="4">
        <v>45839</v>
      </c>
    </row>
    <row r="8" spans="1:9" x14ac:dyDescent="0.35">
      <c r="A8">
        <v>1007</v>
      </c>
      <c r="B8" t="s">
        <v>32</v>
      </c>
      <c r="C8" t="s">
        <v>33</v>
      </c>
      <c r="D8" t="s">
        <v>16</v>
      </c>
      <c r="E8">
        <v>1</v>
      </c>
      <c r="F8">
        <v>18000</v>
      </c>
      <c r="G8" t="s">
        <v>17</v>
      </c>
      <c r="H8" t="s">
        <v>18</v>
      </c>
      <c r="I8" s="4">
        <v>45839</v>
      </c>
    </row>
    <row r="9" spans="1:9" x14ac:dyDescent="0.35">
      <c r="A9">
        <v>1008</v>
      </c>
      <c r="B9" t="s">
        <v>34</v>
      </c>
      <c r="C9" t="s">
        <v>35</v>
      </c>
      <c r="D9" t="s">
        <v>11</v>
      </c>
      <c r="E9">
        <v>6</v>
      </c>
      <c r="F9">
        <v>900</v>
      </c>
      <c r="G9" t="s">
        <v>12</v>
      </c>
      <c r="H9" t="s">
        <v>13</v>
      </c>
      <c r="I9" s="4">
        <v>45839</v>
      </c>
    </row>
    <row r="10" spans="1:9" x14ac:dyDescent="0.35">
      <c r="A10">
        <v>1009</v>
      </c>
      <c r="B10" t="s">
        <v>36</v>
      </c>
      <c r="C10" t="s">
        <v>37</v>
      </c>
      <c r="D10" t="s">
        <v>11</v>
      </c>
      <c r="E10">
        <v>4</v>
      </c>
      <c r="F10">
        <v>700</v>
      </c>
      <c r="G10" t="s">
        <v>24</v>
      </c>
      <c r="H10" t="s">
        <v>28</v>
      </c>
      <c r="I10" s="4">
        <v>45870</v>
      </c>
    </row>
    <row r="11" spans="1:9" x14ac:dyDescent="0.35">
      <c r="A11">
        <v>1010</v>
      </c>
      <c r="B11" t="s">
        <v>38</v>
      </c>
      <c r="C11" t="s">
        <v>39</v>
      </c>
      <c r="D11" t="s">
        <v>21</v>
      </c>
      <c r="E11">
        <v>5</v>
      </c>
      <c r="F11">
        <v>6500</v>
      </c>
      <c r="G11" t="s">
        <v>12</v>
      </c>
      <c r="H11" t="s">
        <v>18</v>
      </c>
      <c r="I11" s="4">
        <v>45870</v>
      </c>
    </row>
    <row r="12" spans="1:9" x14ac:dyDescent="0.35">
      <c r="A12">
        <v>1011</v>
      </c>
      <c r="B12" t="s">
        <v>40</v>
      </c>
      <c r="C12" t="s">
        <v>41</v>
      </c>
      <c r="D12" t="s">
        <v>16</v>
      </c>
      <c r="E12">
        <v>1</v>
      </c>
      <c r="F12">
        <v>25000</v>
      </c>
      <c r="G12" t="s">
        <v>17</v>
      </c>
      <c r="H12" t="s">
        <v>18</v>
      </c>
      <c r="I12" s="4">
        <v>45870</v>
      </c>
    </row>
    <row r="13" spans="1:9" x14ac:dyDescent="0.35">
      <c r="A13">
        <v>1012</v>
      </c>
      <c r="B13" t="s">
        <v>42</v>
      </c>
      <c r="C13" t="s">
        <v>43</v>
      </c>
      <c r="D13" t="s">
        <v>11</v>
      </c>
      <c r="E13">
        <v>7</v>
      </c>
      <c r="F13">
        <v>1100</v>
      </c>
      <c r="G13" t="s">
        <v>12</v>
      </c>
      <c r="H13" t="s">
        <v>13</v>
      </c>
      <c r="I13" s="4">
        <v>45901</v>
      </c>
    </row>
    <row r="14" spans="1:9" x14ac:dyDescent="0.35">
      <c r="A14">
        <v>1013</v>
      </c>
      <c r="B14" t="s">
        <v>44</v>
      </c>
      <c r="C14" t="s">
        <v>45</v>
      </c>
      <c r="D14" t="s">
        <v>27</v>
      </c>
      <c r="E14">
        <v>6</v>
      </c>
      <c r="F14">
        <v>420</v>
      </c>
      <c r="G14" t="s">
        <v>24</v>
      </c>
      <c r="H14" t="s">
        <v>28</v>
      </c>
      <c r="I14" s="4">
        <v>45901</v>
      </c>
    </row>
    <row r="15" spans="1:9" x14ac:dyDescent="0.35">
      <c r="A15">
        <v>1014</v>
      </c>
      <c r="B15" t="s">
        <v>46</v>
      </c>
      <c r="C15" t="s">
        <v>47</v>
      </c>
      <c r="D15" t="s">
        <v>21</v>
      </c>
      <c r="E15">
        <v>4</v>
      </c>
      <c r="F15">
        <v>5200</v>
      </c>
      <c r="G15" t="s">
        <v>31</v>
      </c>
      <c r="H15" t="s">
        <v>18</v>
      </c>
      <c r="I15" s="4">
        <v>45901</v>
      </c>
    </row>
    <row r="16" spans="1:9" x14ac:dyDescent="0.35">
      <c r="A16">
        <v>1015</v>
      </c>
      <c r="B16" t="s">
        <v>48</v>
      </c>
      <c r="C16" t="s">
        <v>49</v>
      </c>
      <c r="D16" t="s">
        <v>16</v>
      </c>
      <c r="E16">
        <v>2</v>
      </c>
      <c r="F16">
        <v>40000</v>
      </c>
      <c r="G16" t="s">
        <v>17</v>
      </c>
      <c r="H16" t="s">
        <v>18</v>
      </c>
      <c r="I16" s="4">
        <v>45931</v>
      </c>
    </row>
    <row r="17" spans="1:9" x14ac:dyDescent="0.35">
      <c r="A17">
        <v>1016</v>
      </c>
      <c r="B17" t="s">
        <v>50</v>
      </c>
      <c r="C17" t="s">
        <v>51</v>
      </c>
      <c r="D17" t="s">
        <v>11</v>
      </c>
      <c r="E17">
        <v>3</v>
      </c>
      <c r="F17">
        <v>500</v>
      </c>
      <c r="G17" t="s">
        <v>24</v>
      </c>
      <c r="H17" t="s">
        <v>28</v>
      </c>
      <c r="I17" s="4">
        <v>45931</v>
      </c>
    </row>
    <row r="18" spans="1:9" x14ac:dyDescent="0.35">
      <c r="A18">
        <v>1017</v>
      </c>
      <c r="B18" t="s">
        <v>52</v>
      </c>
      <c r="C18" t="s">
        <v>53</v>
      </c>
      <c r="D18" t="s">
        <v>11</v>
      </c>
      <c r="E18">
        <v>9</v>
      </c>
      <c r="F18">
        <v>1350</v>
      </c>
      <c r="G18" t="s">
        <v>12</v>
      </c>
      <c r="H18" t="s">
        <v>13</v>
      </c>
      <c r="I18" s="4">
        <v>45931</v>
      </c>
    </row>
    <row r="19" spans="1:9" x14ac:dyDescent="0.35">
      <c r="A19">
        <v>1018</v>
      </c>
      <c r="B19" t="s">
        <v>54</v>
      </c>
      <c r="C19" t="s">
        <v>55</v>
      </c>
      <c r="D19" t="s">
        <v>21</v>
      </c>
      <c r="E19">
        <v>2</v>
      </c>
      <c r="F19">
        <v>3000</v>
      </c>
      <c r="G19" t="s">
        <v>31</v>
      </c>
      <c r="H19" t="s">
        <v>18</v>
      </c>
      <c r="I19" s="4">
        <v>45962</v>
      </c>
    </row>
    <row r="20" spans="1:9" x14ac:dyDescent="0.35">
      <c r="A20">
        <v>1019</v>
      </c>
      <c r="B20" t="s">
        <v>56</v>
      </c>
      <c r="C20" t="s">
        <v>57</v>
      </c>
      <c r="D20" t="s">
        <v>16</v>
      </c>
      <c r="E20">
        <v>1</v>
      </c>
      <c r="F20">
        <v>15000</v>
      </c>
      <c r="G20" t="s">
        <v>17</v>
      </c>
      <c r="H20" t="s">
        <v>18</v>
      </c>
      <c r="I20" s="4">
        <v>45962</v>
      </c>
    </row>
    <row r="21" spans="1:9" x14ac:dyDescent="0.35">
      <c r="A21">
        <v>1020</v>
      </c>
      <c r="B21" t="s">
        <v>58</v>
      </c>
      <c r="C21" t="s">
        <v>59</v>
      </c>
      <c r="D21" t="s">
        <v>27</v>
      </c>
      <c r="E21">
        <v>12</v>
      </c>
      <c r="F21">
        <v>720</v>
      </c>
      <c r="G21" t="s">
        <v>12</v>
      </c>
      <c r="H21" t="s">
        <v>28</v>
      </c>
      <c r="I21" s="4">
        <v>45962</v>
      </c>
    </row>
    <row r="22" spans="1:9" x14ac:dyDescent="0.35">
      <c r="A22">
        <v>1021</v>
      </c>
      <c r="B22" t="s">
        <v>60</v>
      </c>
      <c r="C22" t="s">
        <v>61</v>
      </c>
      <c r="D22" t="s">
        <v>11</v>
      </c>
      <c r="E22">
        <v>6</v>
      </c>
      <c r="F22">
        <v>950</v>
      </c>
      <c r="G22" t="s">
        <v>24</v>
      </c>
      <c r="H22" t="s">
        <v>13</v>
      </c>
      <c r="I22" s="4">
        <v>45992</v>
      </c>
    </row>
    <row r="23" spans="1:9" x14ac:dyDescent="0.35">
      <c r="A23">
        <v>1022</v>
      </c>
      <c r="B23" t="s">
        <v>62</v>
      </c>
      <c r="C23" t="s">
        <v>63</v>
      </c>
      <c r="D23" t="s">
        <v>21</v>
      </c>
      <c r="E23">
        <v>3</v>
      </c>
      <c r="F23">
        <v>4100</v>
      </c>
      <c r="G23" t="s">
        <v>12</v>
      </c>
      <c r="H23" t="s">
        <v>18</v>
      </c>
      <c r="I23" s="4">
        <v>45992</v>
      </c>
    </row>
    <row r="24" spans="1:9" x14ac:dyDescent="0.35">
      <c r="A24">
        <v>1023</v>
      </c>
      <c r="B24" t="s">
        <v>64</v>
      </c>
      <c r="C24" t="s">
        <v>65</v>
      </c>
      <c r="D24" t="s">
        <v>16</v>
      </c>
      <c r="E24">
        <v>1</v>
      </c>
      <c r="F24">
        <v>22000</v>
      </c>
      <c r="G24" t="s">
        <v>17</v>
      </c>
      <c r="H24" t="s">
        <v>18</v>
      </c>
      <c r="I24" s="4">
        <v>45992</v>
      </c>
    </row>
    <row r="25" spans="1:9" x14ac:dyDescent="0.35">
      <c r="A25">
        <v>1024</v>
      </c>
      <c r="B25" t="s">
        <v>66</v>
      </c>
      <c r="C25" t="s">
        <v>67</v>
      </c>
      <c r="D25" t="s">
        <v>11</v>
      </c>
      <c r="E25">
        <v>5</v>
      </c>
      <c r="F25">
        <v>780</v>
      </c>
      <c r="G25" t="s">
        <v>12</v>
      </c>
      <c r="H25" t="s">
        <v>13</v>
      </c>
      <c r="I25" s="4" t="s">
        <v>68</v>
      </c>
    </row>
    <row r="26" spans="1:9" x14ac:dyDescent="0.35">
      <c r="A26">
        <v>1025</v>
      </c>
      <c r="B26" t="s">
        <v>69</v>
      </c>
      <c r="C26" t="s">
        <v>70</v>
      </c>
      <c r="D26" t="s">
        <v>27</v>
      </c>
      <c r="E26">
        <v>8</v>
      </c>
      <c r="F26">
        <v>560</v>
      </c>
      <c r="G26" t="s">
        <v>24</v>
      </c>
      <c r="H26" t="s">
        <v>28</v>
      </c>
      <c r="I26" s="4" t="s">
        <v>68</v>
      </c>
    </row>
    <row r="27" spans="1:9" x14ac:dyDescent="0.35">
      <c r="A27">
        <v>1026</v>
      </c>
      <c r="B27" t="s">
        <v>71</v>
      </c>
      <c r="C27" t="s">
        <v>72</v>
      </c>
      <c r="D27" t="s">
        <v>11</v>
      </c>
      <c r="E27">
        <v>7</v>
      </c>
      <c r="F27">
        <v>1050</v>
      </c>
      <c r="G27" t="s">
        <v>12</v>
      </c>
      <c r="H27" t="s">
        <v>13</v>
      </c>
      <c r="I27" s="4" t="s">
        <v>68</v>
      </c>
    </row>
    <row r="28" spans="1:9" x14ac:dyDescent="0.35">
      <c r="A28">
        <v>1027</v>
      </c>
      <c r="B28" t="s">
        <v>73</v>
      </c>
      <c r="C28" t="s">
        <v>74</v>
      </c>
      <c r="D28" t="s">
        <v>21</v>
      </c>
      <c r="E28">
        <v>4</v>
      </c>
      <c r="F28">
        <v>4800</v>
      </c>
      <c r="G28" t="s">
        <v>31</v>
      </c>
      <c r="H28" t="s">
        <v>18</v>
      </c>
      <c r="I28" s="4" t="s">
        <v>75</v>
      </c>
    </row>
    <row r="29" spans="1:9" x14ac:dyDescent="0.35">
      <c r="A29">
        <v>1028</v>
      </c>
      <c r="B29" t="s">
        <v>76</v>
      </c>
      <c r="C29" t="s">
        <v>77</v>
      </c>
      <c r="D29" t="s">
        <v>16</v>
      </c>
      <c r="E29">
        <v>1</v>
      </c>
      <c r="F29">
        <v>28000</v>
      </c>
      <c r="G29" t="s">
        <v>17</v>
      </c>
      <c r="H29" t="s">
        <v>18</v>
      </c>
      <c r="I29" s="4" t="s">
        <v>75</v>
      </c>
    </row>
    <row r="30" spans="1:9" x14ac:dyDescent="0.35">
      <c r="A30">
        <v>1029</v>
      </c>
      <c r="B30" t="s">
        <v>78</v>
      </c>
      <c r="C30" t="s">
        <v>79</v>
      </c>
      <c r="D30" t="s">
        <v>11</v>
      </c>
      <c r="E30">
        <v>6</v>
      </c>
      <c r="F30">
        <v>900</v>
      </c>
      <c r="G30" t="s">
        <v>24</v>
      </c>
      <c r="H30" t="s">
        <v>13</v>
      </c>
      <c r="I30" s="4" t="s">
        <v>75</v>
      </c>
    </row>
    <row r="31" spans="1:9" x14ac:dyDescent="0.35">
      <c r="A31">
        <v>1030</v>
      </c>
      <c r="B31" t="s">
        <v>80</v>
      </c>
      <c r="C31" t="s">
        <v>81</v>
      </c>
      <c r="D31" t="s">
        <v>21</v>
      </c>
      <c r="E31">
        <v>3</v>
      </c>
      <c r="F31">
        <v>3900</v>
      </c>
      <c r="G31" t="s">
        <v>12</v>
      </c>
      <c r="H31" t="s">
        <v>18</v>
      </c>
      <c r="I31" s="4" t="s">
        <v>82</v>
      </c>
    </row>
    <row r="32" spans="1:9" x14ac:dyDescent="0.35">
      <c r="A32">
        <v>1031</v>
      </c>
      <c r="B32" t="s">
        <v>83</v>
      </c>
      <c r="C32" t="s">
        <v>84</v>
      </c>
      <c r="D32" t="s">
        <v>27</v>
      </c>
      <c r="E32">
        <v>9</v>
      </c>
      <c r="F32">
        <v>540</v>
      </c>
      <c r="G32" t="s">
        <v>24</v>
      </c>
      <c r="H32" t="s">
        <v>28</v>
      </c>
      <c r="I32" s="4" t="s">
        <v>82</v>
      </c>
    </row>
    <row r="33" spans="1:9" x14ac:dyDescent="0.35">
      <c r="A33">
        <v>1032</v>
      </c>
      <c r="B33" t="s">
        <v>85</v>
      </c>
      <c r="C33" t="s">
        <v>37</v>
      </c>
      <c r="D33" t="s">
        <v>11</v>
      </c>
      <c r="E33">
        <v>4</v>
      </c>
      <c r="F33">
        <v>650</v>
      </c>
      <c r="G33" t="s">
        <v>12</v>
      </c>
      <c r="H33" t="s">
        <v>13</v>
      </c>
      <c r="I33" s="4" t="s">
        <v>82</v>
      </c>
    </row>
    <row r="34" spans="1:9" x14ac:dyDescent="0.35">
      <c r="A34">
        <v>1033</v>
      </c>
      <c r="B34" t="s">
        <v>86</v>
      </c>
      <c r="C34" t="s">
        <v>87</v>
      </c>
      <c r="D34" t="s">
        <v>16</v>
      </c>
      <c r="E34">
        <v>2</v>
      </c>
      <c r="F34">
        <v>36000</v>
      </c>
      <c r="G34" t="s">
        <v>17</v>
      </c>
      <c r="H34" t="s">
        <v>18</v>
      </c>
      <c r="I34" s="4" t="s">
        <v>88</v>
      </c>
    </row>
    <row r="35" spans="1:9" x14ac:dyDescent="0.35">
      <c r="A35">
        <v>1034</v>
      </c>
      <c r="B35" t="s">
        <v>89</v>
      </c>
      <c r="C35" t="s">
        <v>90</v>
      </c>
      <c r="D35" t="s">
        <v>21</v>
      </c>
      <c r="E35">
        <v>5</v>
      </c>
      <c r="F35">
        <v>7200</v>
      </c>
      <c r="G35" t="s">
        <v>31</v>
      </c>
      <c r="H35" t="s">
        <v>18</v>
      </c>
      <c r="I35" s="4" t="s">
        <v>88</v>
      </c>
    </row>
    <row r="36" spans="1:9" x14ac:dyDescent="0.35">
      <c r="A36">
        <v>1035</v>
      </c>
      <c r="B36" t="s">
        <v>91</v>
      </c>
      <c r="C36" t="s">
        <v>92</v>
      </c>
      <c r="D36" t="s">
        <v>11</v>
      </c>
      <c r="E36">
        <v>6</v>
      </c>
      <c r="F36">
        <v>980</v>
      </c>
      <c r="G36" t="s">
        <v>12</v>
      </c>
      <c r="H36" t="s">
        <v>13</v>
      </c>
      <c r="I36" s="4" t="s">
        <v>88</v>
      </c>
    </row>
    <row r="37" spans="1:9" x14ac:dyDescent="0.35">
      <c r="A37">
        <v>1036</v>
      </c>
      <c r="B37" t="s">
        <v>93</v>
      </c>
      <c r="C37" t="s">
        <v>94</v>
      </c>
      <c r="D37" t="s">
        <v>21</v>
      </c>
      <c r="E37">
        <v>4</v>
      </c>
      <c r="F37">
        <v>5600</v>
      </c>
      <c r="G37" t="s">
        <v>12</v>
      </c>
      <c r="H37" t="s">
        <v>18</v>
      </c>
      <c r="I37" s="4" t="s">
        <v>95</v>
      </c>
    </row>
    <row r="38" spans="1:9" x14ac:dyDescent="0.35">
      <c r="A38">
        <v>1037</v>
      </c>
      <c r="B38" t="s">
        <v>96</v>
      </c>
      <c r="C38" t="s">
        <v>97</v>
      </c>
      <c r="D38" t="s">
        <v>27</v>
      </c>
      <c r="E38">
        <v>11</v>
      </c>
      <c r="F38">
        <v>660</v>
      </c>
      <c r="G38" t="s">
        <v>24</v>
      </c>
      <c r="H38" t="s">
        <v>28</v>
      </c>
      <c r="I38" s="4" t="s">
        <v>95</v>
      </c>
    </row>
    <row r="39" spans="1:9" x14ac:dyDescent="0.35">
      <c r="A39">
        <v>1038</v>
      </c>
      <c r="B39" t="s">
        <v>98</v>
      </c>
      <c r="C39" t="s">
        <v>99</v>
      </c>
      <c r="D39" t="s">
        <v>11</v>
      </c>
      <c r="E39">
        <v>5</v>
      </c>
      <c r="F39">
        <v>820</v>
      </c>
      <c r="G39" t="s">
        <v>12</v>
      </c>
      <c r="H39" t="s">
        <v>13</v>
      </c>
      <c r="I39" s="4" t="s">
        <v>95</v>
      </c>
    </row>
    <row r="40" spans="1:9" x14ac:dyDescent="0.35">
      <c r="A40">
        <v>1039</v>
      </c>
      <c r="B40" t="s">
        <v>100</v>
      </c>
      <c r="C40" t="s">
        <v>101</v>
      </c>
      <c r="D40" t="s">
        <v>16</v>
      </c>
      <c r="E40">
        <v>1</v>
      </c>
      <c r="F40">
        <v>26000</v>
      </c>
      <c r="G40" t="s">
        <v>17</v>
      </c>
      <c r="H40" t="s">
        <v>18</v>
      </c>
      <c r="I40" s="4" t="s">
        <v>102</v>
      </c>
    </row>
    <row r="41" spans="1:9" x14ac:dyDescent="0.35">
      <c r="A41">
        <v>1040</v>
      </c>
      <c r="B41" t="s">
        <v>103</v>
      </c>
      <c r="C41" t="s">
        <v>104</v>
      </c>
      <c r="D41" t="s">
        <v>21</v>
      </c>
      <c r="E41">
        <v>3</v>
      </c>
      <c r="F41">
        <v>4300</v>
      </c>
      <c r="G41" t="s">
        <v>31</v>
      </c>
      <c r="H41" t="s">
        <v>18</v>
      </c>
      <c r="I41" s="4" t="s">
        <v>102</v>
      </c>
    </row>
    <row r="42" spans="1:9" x14ac:dyDescent="0.35">
      <c r="A42">
        <v>1041</v>
      </c>
      <c r="B42" t="s">
        <v>105</v>
      </c>
      <c r="C42" t="s">
        <v>106</v>
      </c>
      <c r="D42" t="s">
        <v>11</v>
      </c>
      <c r="E42">
        <v>7</v>
      </c>
      <c r="F42">
        <v>1150</v>
      </c>
      <c r="G42" t="s">
        <v>12</v>
      </c>
      <c r="H42" t="s">
        <v>13</v>
      </c>
      <c r="I42" s="4" t="s">
        <v>102</v>
      </c>
    </row>
    <row r="43" spans="1:9" x14ac:dyDescent="0.35">
      <c r="A43">
        <v>1042</v>
      </c>
      <c r="B43" t="s">
        <v>107</v>
      </c>
      <c r="C43" t="s">
        <v>108</v>
      </c>
      <c r="D43" t="s">
        <v>16</v>
      </c>
      <c r="E43">
        <v>1</v>
      </c>
      <c r="F43">
        <v>30000</v>
      </c>
      <c r="G43" t="s">
        <v>17</v>
      </c>
      <c r="H43" t="s">
        <v>18</v>
      </c>
      <c r="I43" s="4" t="s">
        <v>109</v>
      </c>
    </row>
    <row r="44" spans="1:9" x14ac:dyDescent="0.35">
      <c r="A44">
        <v>1043</v>
      </c>
      <c r="B44" t="s">
        <v>110</v>
      </c>
      <c r="C44" t="s">
        <v>111</v>
      </c>
      <c r="D44" t="s">
        <v>27</v>
      </c>
      <c r="E44">
        <v>10</v>
      </c>
      <c r="F44">
        <v>600</v>
      </c>
      <c r="G44" t="s">
        <v>24</v>
      </c>
      <c r="H44" t="s">
        <v>28</v>
      </c>
      <c r="I44" s="4" t="s">
        <v>109</v>
      </c>
    </row>
    <row r="45" spans="1:9" x14ac:dyDescent="0.35">
      <c r="A45">
        <v>1044</v>
      </c>
      <c r="B45" t="s">
        <v>112</v>
      </c>
      <c r="C45" t="s">
        <v>113</v>
      </c>
      <c r="D45" t="s">
        <v>11</v>
      </c>
      <c r="E45">
        <v>6</v>
      </c>
      <c r="F45">
        <v>900</v>
      </c>
      <c r="G45" t="s">
        <v>12</v>
      </c>
      <c r="H45" t="s">
        <v>13</v>
      </c>
      <c r="I45" s="4" t="s">
        <v>109</v>
      </c>
    </row>
    <row r="46" spans="1:9" x14ac:dyDescent="0.35">
      <c r="A46">
        <v>1045</v>
      </c>
      <c r="B46" t="s">
        <v>114</v>
      </c>
      <c r="C46" t="s">
        <v>115</v>
      </c>
      <c r="D46" t="s">
        <v>21</v>
      </c>
      <c r="E46">
        <v>4</v>
      </c>
      <c r="F46">
        <v>5100</v>
      </c>
      <c r="G46" t="s">
        <v>31</v>
      </c>
      <c r="H46" t="s">
        <v>18</v>
      </c>
      <c r="I46" s="4" t="s">
        <v>116</v>
      </c>
    </row>
    <row r="47" spans="1:9" x14ac:dyDescent="0.35">
      <c r="A47">
        <v>1046</v>
      </c>
      <c r="B47" t="s">
        <v>117</v>
      </c>
      <c r="C47" t="s">
        <v>118</v>
      </c>
      <c r="D47" t="s">
        <v>11</v>
      </c>
      <c r="E47">
        <v>8</v>
      </c>
      <c r="F47">
        <v>1300</v>
      </c>
      <c r="G47" t="s">
        <v>24</v>
      </c>
      <c r="H47" t="s">
        <v>13</v>
      </c>
      <c r="I47" s="4" t="s">
        <v>116</v>
      </c>
    </row>
    <row r="48" spans="1:9" x14ac:dyDescent="0.35">
      <c r="A48">
        <v>1047</v>
      </c>
      <c r="B48" t="s">
        <v>119</v>
      </c>
      <c r="C48" t="s">
        <v>120</v>
      </c>
      <c r="D48" t="s">
        <v>16</v>
      </c>
      <c r="E48">
        <v>1</v>
      </c>
      <c r="F48">
        <v>24000</v>
      </c>
      <c r="G48" t="s">
        <v>17</v>
      </c>
      <c r="H48" t="s">
        <v>18</v>
      </c>
      <c r="I48" s="4" t="s">
        <v>116</v>
      </c>
    </row>
    <row r="49" spans="1:9" x14ac:dyDescent="0.35">
      <c r="A49">
        <v>1048</v>
      </c>
      <c r="B49" t="s">
        <v>121</v>
      </c>
      <c r="C49" t="s">
        <v>122</v>
      </c>
      <c r="D49" t="s">
        <v>21</v>
      </c>
      <c r="E49">
        <v>5</v>
      </c>
      <c r="F49">
        <v>6800</v>
      </c>
      <c r="G49" t="s">
        <v>12</v>
      </c>
      <c r="H49" t="s">
        <v>18</v>
      </c>
      <c r="I49" s="4" t="s">
        <v>123</v>
      </c>
    </row>
    <row r="50" spans="1:9" x14ac:dyDescent="0.35">
      <c r="A50">
        <v>1049</v>
      </c>
      <c r="B50" t="s">
        <v>124</v>
      </c>
      <c r="C50" t="s">
        <v>125</v>
      </c>
      <c r="D50" t="s">
        <v>11</v>
      </c>
      <c r="E50">
        <v>6</v>
      </c>
      <c r="F50">
        <v>950</v>
      </c>
      <c r="G50" t="s">
        <v>24</v>
      </c>
      <c r="H50" t="s">
        <v>13</v>
      </c>
      <c r="I50" s="4" t="s">
        <v>123</v>
      </c>
    </row>
    <row r="51" spans="1:9" x14ac:dyDescent="0.35">
      <c r="A51">
        <v>1050</v>
      </c>
      <c r="B51" t="s">
        <v>126</v>
      </c>
      <c r="C51" t="s">
        <v>127</v>
      </c>
      <c r="D51" t="s">
        <v>27</v>
      </c>
      <c r="E51">
        <v>7</v>
      </c>
      <c r="F51">
        <v>420</v>
      </c>
      <c r="G51" t="s">
        <v>12</v>
      </c>
      <c r="H51" t="s">
        <v>28</v>
      </c>
      <c r="I51" s="4"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B0AD-01E6-40B4-99B8-BDD1D0B0FB9A}">
  <dimension ref="A2:D3"/>
  <sheetViews>
    <sheetView workbookViewId="0">
      <selection activeCell="D4" sqref="D4"/>
    </sheetView>
  </sheetViews>
  <sheetFormatPr defaultRowHeight="14.5" x14ac:dyDescent="0.35"/>
  <cols>
    <col min="1" max="1" width="11.81640625" bestFit="1" customWidth="1"/>
    <col min="2" max="2" width="10.7265625" bestFit="1" customWidth="1"/>
    <col min="3" max="3" width="16.26953125" bestFit="1" customWidth="1"/>
    <col min="4" max="4" width="17.36328125" bestFit="1" customWidth="1"/>
  </cols>
  <sheetData>
    <row r="2" spans="1:4" x14ac:dyDescent="0.35">
      <c r="A2" s="3" t="s">
        <v>131</v>
      </c>
      <c r="B2" s="3" t="s">
        <v>128</v>
      </c>
      <c r="C2" s="3" t="s">
        <v>129</v>
      </c>
      <c r="D2" s="3" t="s">
        <v>130</v>
      </c>
    </row>
    <row r="3" spans="1:4" x14ac:dyDescent="0.35">
      <c r="A3" s="8">
        <f>SUM(Data[total_amount])</f>
        <v>381350</v>
      </c>
      <c r="B3" s="11">
        <f>COUNTA(Data[bill_id])</f>
        <v>50</v>
      </c>
      <c r="C3" s="11">
        <f>SUM(Data[quantity])</f>
        <v>241</v>
      </c>
      <c r="D3" s="8">
        <f>A3/B3</f>
        <v>7627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A8F8-5AA0-416C-BE05-BAB15B4E1C4B}">
  <dimension ref="A1:B6"/>
  <sheetViews>
    <sheetView workbookViewId="0">
      <selection activeCell="L14" sqref="L14"/>
    </sheetView>
  </sheetViews>
  <sheetFormatPr defaultRowHeight="14.5" x14ac:dyDescent="0.35"/>
  <cols>
    <col min="1" max="1" width="12.453125" bestFit="1" customWidth="1"/>
    <col min="2" max="2" width="18.26953125" bestFit="1" customWidth="1"/>
  </cols>
  <sheetData>
    <row r="1" spans="1:2" x14ac:dyDescent="0.35">
      <c r="A1" s="5" t="s">
        <v>132</v>
      </c>
      <c r="B1" t="s">
        <v>134</v>
      </c>
    </row>
    <row r="2" spans="1:2" x14ac:dyDescent="0.35">
      <c r="A2" s="6" t="s">
        <v>21</v>
      </c>
      <c r="B2">
        <v>63800</v>
      </c>
    </row>
    <row r="3" spans="1:2" x14ac:dyDescent="0.35">
      <c r="A3" s="6" t="s">
        <v>16</v>
      </c>
      <c r="B3">
        <v>296000</v>
      </c>
    </row>
    <row r="4" spans="1:2" x14ac:dyDescent="0.35">
      <c r="A4" s="6" t="s">
        <v>11</v>
      </c>
      <c r="B4">
        <v>17030</v>
      </c>
    </row>
    <row r="5" spans="1:2" x14ac:dyDescent="0.35">
      <c r="A5" s="6" t="s">
        <v>27</v>
      </c>
      <c r="B5">
        <v>4520</v>
      </c>
    </row>
    <row r="6" spans="1:2" x14ac:dyDescent="0.35">
      <c r="A6" s="6" t="s">
        <v>133</v>
      </c>
      <c r="B6">
        <v>381350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611E-F551-4693-8371-D09FF1B400E8}">
  <dimension ref="A1:B51"/>
  <sheetViews>
    <sheetView workbookViewId="0">
      <selection activeCell="L14" sqref="L14"/>
    </sheetView>
  </sheetViews>
  <sheetFormatPr defaultRowHeight="14.5" x14ac:dyDescent="0.35"/>
  <cols>
    <col min="1" max="1" width="12.453125" bestFit="1" customWidth="1"/>
    <col min="2" max="2" width="18.26953125" bestFit="1" customWidth="1"/>
  </cols>
  <sheetData>
    <row r="1" spans="1:2" x14ac:dyDescent="0.35">
      <c r="A1" s="5" t="s">
        <v>132</v>
      </c>
      <c r="B1" t="s">
        <v>134</v>
      </c>
    </row>
    <row r="2" spans="1:2" x14ac:dyDescent="0.35">
      <c r="A2" s="6" t="s">
        <v>47</v>
      </c>
      <c r="B2">
        <v>5200</v>
      </c>
    </row>
    <row r="3" spans="1:2" x14ac:dyDescent="0.35">
      <c r="A3" s="6" t="s">
        <v>20</v>
      </c>
      <c r="B3">
        <v>4500</v>
      </c>
    </row>
    <row r="4" spans="1:2" x14ac:dyDescent="0.35">
      <c r="A4" s="6" t="s">
        <v>67</v>
      </c>
      <c r="B4">
        <v>780</v>
      </c>
    </row>
    <row r="5" spans="1:2" x14ac:dyDescent="0.35">
      <c r="A5" s="6" t="s">
        <v>122</v>
      </c>
      <c r="B5">
        <v>6800</v>
      </c>
    </row>
    <row r="6" spans="1:2" x14ac:dyDescent="0.35">
      <c r="A6" s="6" t="s">
        <v>37</v>
      </c>
      <c r="B6">
        <v>1350</v>
      </c>
    </row>
    <row r="7" spans="1:2" x14ac:dyDescent="0.35">
      <c r="A7" s="6" t="s">
        <v>97</v>
      </c>
      <c r="B7">
        <v>660</v>
      </c>
    </row>
    <row r="8" spans="1:2" x14ac:dyDescent="0.35">
      <c r="A8" s="6" t="s">
        <v>55</v>
      </c>
      <c r="B8">
        <v>3000</v>
      </c>
    </row>
    <row r="9" spans="1:2" x14ac:dyDescent="0.35">
      <c r="A9" s="6" t="s">
        <v>108</v>
      </c>
      <c r="B9">
        <v>30000</v>
      </c>
    </row>
    <row r="10" spans="1:2" x14ac:dyDescent="0.35">
      <c r="A10" s="6" t="s">
        <v>115</v>
      </c>
      <c r="B10">
        <v>5100</v>
      </c>
    </row>
    <row r="11" spans="1:2" x14ac:dyDescent="0.35">
      <c r="A11" s="6" t="s">
        <v>10</v>
      </c>
      <c r="B11">
        <v>850</v>
      </c>
    </row>
    <row r="12" spans="1:2" x14ac:dyDescent="0.35">
      <c r="A12" s="6" t="s">
        <v>57</v>
      </c>
      <c r="B12">
        <v>15000</v>
      </c>
    </row>
    <row r="13" spans="1:2" x14ac:dyDescent="0.35">
      <c r="A13" s="6" t="s">
        <v>118</v>
      </c>
      <c r="B13">
        <v>1300</v>
      </c>
    </row>
    <row r="14" spans="1:2" x14ac:dyDescent="0.35">
      <c r="A14" s="6" t="s">
        <v>49</v>
      </c>
      <c r="B14">
        <v>40000</v>
      </c>
    </row>
    <row r="15" spans="1:2" x14ac:dyDescent="0.35">
      <c r="A15" s="6" t="s">
        <v>92</v>
      </c>
      <c r="B15">
        <v>980</v>
      </c>
    </row>
    <row r="16" spans="1:2" x14ac:dyDescent="0.35">
      <c r="A16" s="6" t="s">
        <v>79</v>
      </c>
      <c r="B16">
        <v>900</v>
      </c>
    </row>
    <row r="17" spans="1:2" x14ac:dyDescent="0.35">
      <c r="A17" s="6" t="s">
        <v>106</v>
      </c>
      <c r="B17">
        <v>1150</v>
      </c>
    </row>
    <row r="18" spans="1:2" x14ac:dyDescent="0.35">
      <c r="A18" s="6" t="s">
        <v>35</v>
      </c>
      <c r="B18">
        <v>900</v>
      </c>
    </row>
    <row r="19" spans="1:2" x14ac:dyDescent="0.35">
      <c r="A19" s="6" t="s">
        <v>33</v>
      </c>
      <c r="B19">
        <v>18000</v>
      </c>
    </row>
    <row r="20" spans="1:2" x14ac:dyDescent="0.35">
      <c r="A20" s="6" t="s">
        <v>51</v>
      </c>
      <c r="B20">
        <v>500</v>
      </c>
    </row>
    <row r="21" spans="1:2" x14ac:dyDescent="0.35">
      <c r="A21" s="6" t="s">
        <v>41</v>
      </c>
      <c r="B21">
        <v>25000</v>
      </c>
    </row>
    <row r="22" spans="1:2" x14ac:dyDescent="0.35">
      <c r="A22" s="6" t="s">
        <v>101</v>
      </c>
      <c r="B22">
        <v>26000</v>
      </c>
    </row>
    <row r="23" spans="1:2" x14ac:dyDescent="0.35">
      <c r="A23" s="6" t="s">
        <v>81</v>
      </c>
      <c r="B23">
        <v>3900</v>
      </c>
    </row>
    <row r="24" spans="1:2" x14ac:dyDescent="0.35">
      <c r="A24" s="6" t="s">
        <v>39</v>
      </c>
      <c r="B24">
        <v>6500</v>
      </c>
    </row>
    <row r="25" spans="1:2" x14ac:dyDescent="0.35">
      <c r="A25" s="6" t="s">
        <v>74</v>
      </c>
      <c r="B25">
        <v>4800</v>
      </c>
    </row>
    <row r="26" spans="1:2" x14ac:dyDescent="0.35">
      <c r="A26" s="6" t="s">
        <v>23</v>
      </c>
      <c r="B26">
        <v>1200</v>
      </c>
    </row>
    <row r="27" spans="1:2" x14ac:dyDescent="0.35">
      <c r="A27" s="6" t="s">
        <v>90</v>
      </c>
      <c r="B27">
        <v>7200</v>
      </c>
    </row>
    <row r="28" spans="1:2" x14ac:dyDescent="0.35">
      <c r="A28" s="6" t="s">
        <v>125</v>
      </c>
      <c r="B28">
        <v>950</v>
      </c>
    </row>
    <row r="29" spans="1:2" x14ac:dyDescent="0.35">
      <c r="A29" s="6" t="s">
        <v>65</v>
      </c>
      <c r="B29">
        <v>22000</v>
      </c>
    </row>
    <row r="30" spans="1:2" x14ac:dyDescent="0.35">
      <c r="A30" s="6" t="s">
        <v>15</v>
      </c>
      <c r="B30">
        <v>32000</v>
      </c>
    </row>
    <row r="31" spans="1:2" x14ac:dyDescent="0.35">
      <c r="A31" s="6" t="s">
        <v>59</v>
      </c>
      <c r="B31">
        <v>720</v>
      </c>
    </row>
    <row r="32" spans="1:2" x14ac:dyDescent="0.35">
      <c r="A32" s="6" t="s">
        <v>70</v>
      </c>
      <c r="B32">
        <v>560</v>
      </c>
    </row>
    <row r="33" spans="1:2" x14ac:dyDescent="0.35">
      <c r="A33" s="6" t="s">
        <v>45</v>
      </c>
      <c r="B33">
        <v>420</v>
      </c>
    </row>
    <row r="34" spans="1:2" x14ac:dyDescent="0.35">
      <c r="A34" s="6" t="s">
        <v>99</v>
      </c>
      <c r="B34">
        <v>820</v>
      </c>
    </row>
    <row r="35" spans="1:2" x14ac:dyDescent="0.35">
      <c r="A35" s="6" t="s">
        <v>87</v>
      </c>
      <c r="B35">
        <v>36000</v>
      </c>
    </row>
    <row r="36" spans="1:2" x14ac:dyDescent="0.35">
      <c r="A36" s="6" t="s">
        <v>26</v>
      </c>
      <c r="B36">
        <v>600</v>
      </c>
    </row>
    <row r="37" spans="1:2" x14ac:dyDescent="0.35">
      <c r="A37" s="6" t="s">
        <v>77</v>
      </c>
      <c r="B37">
        <v>28000</v>
      </c>
    </row>
    <row r="38" spans="1:2" x14ac:dyDescent="0.35">
      <c r="A38" s="6" t="s">
        <v>30</v>
      </c>
      <c r="B38">
        <v>2800</v>
      </c>
    </row>
    <row r="39" spans="1:2" x14ac:dyDescent="0.35">
      <c r="A39" s="6" t="s">
        <v>120</v>
      </c>
      <c r="B39">
        <v>24000</v>
      </c>
    </row>
    <row r="40" spans="1:2" x14ac:dyDescent="0.35">
      <c r="A40" s="6" t="s">
        <v>63</v>
      </c>
      <c r="B40">
        <v>4100</v>
      </c>
    </row>
    <row r="41" spans="1:2" x14ac:dyDescent="0.35">
      <c r="A41" s="6" t="s">
        <v>53</v>
      </c>
      <c r="B41">
        <v>1350</v>
      </c>
    </row>
    <row r="42" spans="1:2" x14ac:dyDescent="0.35">
      <c r="A42" s="6" t="s">
        <v>84</v>
      </c>
      <c r="B42">
        <v>540</v>
      </c>
    </row>
    <row r="43" spans="1:2" x14ac:dyDescent="0.35">
      <c r="A43" s="6" t="s">
        <v>113</v>
      </c>
      <c r="B43">
        <v>900</v>
      </c>
    </row>
    <row r="44" spans="1:2" x14ac:dyDescent="0.35">
      <c r="A44" s="6" t="s">
        <v>111</v>
      </c>
      <c r="B44">
        <v>600</v>
      </c>
    </row>
    <row r="45" spans="1:2" x14ac:dyDescent="0.35">
      <c r="A45" s="6" t="s">
        <v>127</v>
      </c>
      <c r="B45">
        <v>420</v>
      </c>
    </row>
    <row r="46" spans="1:2" x14ac:dyDescent="0.35">
      <c r="A46" s="6" t="s">
        <v>72</v>
      </c>
      <c r="B46">
        <v>1050</v>
      </c>
    </row>
    <row r="47" spans="1:2" x14ac:dyDescent="0.35">
      <c r="A47" s="6" t="s">
        <v>94</v>
      </c>
      <c r="B47">
        <v>5600</v>
      </c>
    </row>
    <row r="48" spans="1:2" x14ac:dyDescent="0.35">
      <c r="A48" s="6" t="s">
        <v>104</v>
      </c>
      <c r="B48">
        <v>4300</v>
      </c>
    </row>
    <row r="49" spans="1:2" x14ac:dyDescent="0.35">
      <c r="A49" s="6" t="s">
        <v>43</v>
      </c>
      <c r="B49">
        <v>1100</v>
      </c>
    </row>
    <row r="50" spans="1:2" x14ac:dyDescent="0.35">
      <c r="A50" s="6" t="s">
        <v>61</v>
      </c>
      <c r="B50">
        <v>950</v>
      </c>
    </row>
    <row r="51" spans="1:2" x14ac:dyDescent="0.35">
      <c r="A51" s="6" t="s">
        <v>133</v>
      </c>
      <c r="B51">
        <v>381350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3DD3-820C-4E00-881D-E40453A669F0}">
  <dimension ref="A1:B6"/>
  <sheetViews>
    <sheetView workbookViewId="0">
      <selection activeCell="H20" sqref="H20"/>
    </sheetView>
  </sheetViews>
  <sheetFormatPr defaultRowHeight="14.5" x14ac:dyDescent="0.35"/>
  <cols>
    <col min="1" max="1" width="12.453125" bestFit="1" customWidth="1"/>
    <col min="2" max="2" width="18.26953125" bestFit="1" customWidth="1"/>
  </cols>
  <sheetData>
    <row r="1" spans="1:2" x14ac:dyDescent="0.35">
      <c r="A1" s="5" t="s">
        <v>132</v>
      </c>
      <c r="B1" t="s">
        <v>134</v>
      </c>
    </row>
    <row r="2" spans="1:2" x14ac:dyDescent="0.35">
      <c r="A2" s="6" t="s">
        <v>24</v>
      </c>
      <c r="B2">
        <v>9280</v>
      </c>
    </row>
    <row r="3" spans="1:2" x14ac:dyDescent="0.35">
      <c r="A3" s="6" t="s">
        <v>17</v>
      </c>
      <c r="B3">
        <v>296000</v>
      </c>
    </row>
    <row r="4" spans="1:2" x14ac:dyDescent="0.35">
      <c r="A4" s="6" t="s">
        <v>31</v>
      </c>
      <c r="B4">
        <v>32400</v>
      </c>
    </row>
    <row r="5" spans="1:2" x14ac:dyDescent="0.35">
      <c r="A5" s="6" t="s">
        <v>12</v>
      </c>
      <c r="B5">
        <v>43670</v>
      </c>
    </row>
    <row r="6" spans="1:2" x14ac:dyDescent="0.35">
      <c r="A6" s="6" t="s">
        <v>133</v>
      </c>
      <c r="B6">
        <v>381350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A4C9-86C0-4727-975F-549E7A19FC91}">
  <dimension ref="A1:B5"/>
  <sheetViews>
    <sheetView workbookViewId="0">
      <selection activeCell="N8" sqref="N8"/>
    </sheetView>
  </sheetViews>
  <sheetFormatPr defaultRowHeight="14.5" x14ac:dyDescent="0.35"/>
  <cols>
    <col min="1" max="1" width="12.453125" bestFit="1" customWidth="1"/>
    <col min="2" max="2" width="18.26953125" bestFit="1" customWidth="1"/>
  </cols>
  <sheetData>
    <row r="1" spans="1:2" x14ac:dyDescent="0.35">
      <c r="A1" s="5" t="s">
        <v>132</v>
      </c>
      <c r="B1" t="s">
        <v>134</v>
      </c>
    </row>
    <row r="2" spans="1:2" x14ac:dyDescent="0.35">
      <c r="A2" s="6" t="s">
        <v>28</v>
      </c>
      <c r="B2">
        <v>5720</v>
      </c>
    </row>
    <row r="3" spans="1:2" x14ac:dyDescent="0.35">
      <c r="A3" s="6" t="s">
        <v>18</v>
      </c>
      <c r="B3">
        <v>359800</v>
      </c>
    </row>
    <row r="4" spans="1:2" x14ac:dyDescent="0.35">
      <c r="A4" s="6" t="s">
        <v>13</v>
      </c>
      <c r="B4">
        <v>15830</v>
      </c>
    </row>
    <row r="5" spans="1:2" x14ac:dyDescent="0.35">
      <c r="A5" s="6" t="s">
        <v>133</v>
      </c>
      <c r="B5">
        <v>381350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9C0D-F912-4E89-9208-9EF7E41F98B8}">
  <dimension ref="A1:B19"/>
  <sheetViews>
    <sheetView workbookViewId="0">
      <selection activeCell="J15" sqref="J15"/>
    </sheetView>
  </sheetViews>
  <sheetFormatPr defaultRowHeight="14.5" x14ac:dyDescent="0.35"/>
  <cols>
    <col min="1" max="1" width="12.453125" bestFit="1" customWidth="1"/>
    <col min="2" max="2" width="18.26953125" bestFit="1" customWidth="1"/>
  </cols>
  <sheetData>
    <row r="1" spans="1:2" x14ac:dyDescent="0.35">
      <c r="A1" s="5" t="s">
        <v>132</v>
      </c>
      <c r="B1" t="s">
        <v>134</v>
      </c>
    </row>
    <row r="2" spans="1:2" x14ac:dyDescent="0.35">
      <c r="A2" s="7" t="s">
        <v>68</v>
      </c>
      <c r="B2">
        <v>2390</v>
      </c>
    </row>
    <row r="3" spans="1:2" x14ac:dyDescent="0.35">
      <c r="A3" s="7" t="s">
        <v>75</v>
      </c>
      <c r="B3">
        <v>33700</v>
      </c>
    </row>
    <row r="4" spans="1:2" x14ac:dyDescent="0.35">
      <c r="A4" s="7" t="s">
        <v>82</v>
      </c>
      <c r="B4">
        <v>5090</v>
      </c>
    </row>
    <row r="5" spans="1:2" x14ac:dyDescent="0.35">
      <c r="A5" s="7" t="s">
        <v>88</v>
      </c>
      <c r="B5">
        <v>44180</v>
      </c>
    </row>
    <row r="6" spans="1:2" x14ac:dyDescent="0.35">
      <c r="A6" s="7" t="s">
        <v>95</v>
      </c>
      <c r="B6">
        <v>7080</v>
      </c>
    </row>
    <row r="7" spans="1:2" x14ac:dyDescent="0.35">
      <c r="A7" s="7" t="s">
        <v>102</v>
      </c>
      <c r="B7">
        <v>31450</v>
      </c>
    </row>
    <row r="8" spans="1:2" x14ac:dyDescent="0.35">
      <c r="A8" s="7" t="s">
        <v>109</v>
      </c>
      <c r="B8">
        <v>31500</v>
      </c>
    </row>
    <row r="9" spans="1:2" x14ac:dyDescent="0.35">
      <c r="A9" s="7" t="s">
        <v>116</v>
      </c>
      <c r="B9">
        <v>30400</v>
      </c>
    </row>
    <row r="10" spans="1:2" x14ac:dyDescent="0.35">
      <c r="A10" s="7" t="s">
        <v>123</v>
      </c>
      <c r="B10">
        <v>8170</v>
      </c>
    </row>
    <row r="11" spans="1:2" x14ac:dyDescent="0.35">
      <c r="A11" s="7">
        <v>45778</v>
      </c>
      <c r="B11">
        <v>32850</v>
      </c>
    </row>
    <row r="12" spans="1:2" x14ac:dyDescent="0.35">
      <c r="A12" s="7">
        <v>45809</v>
      </c>
      <c r="B12">
        <v>6300</v>
      </c>
    </row>
    <row r="13" spans="1:2" x14ac:dyDescent="0.35">
      <c r="A13" s="7">
        <v>45839</v>
      </c>
      <c r="B13">
        <v>21700</v>
      </c>
    </row>
    <row r="14" spans="1:2" x14ac:dyDescent="0.35">
      <c r="A14" s="7">
        <v>45870</v>
      </c>
      <c r="B14">
        <v>32200</v>
      </c>
    </row>
    <row r="15" spans="1:2" x14ac:dyDescent="0.35">
      <c r="A15" s="7">
        <v>45901</v>
      </c>
      <c r="B15">
        <v>6720</v>
      </c>
    </row>
    <row r="16" spans="1:2" x14ac:dyDescent="0.35">
      <c r="A16" s="7">
        <v>45931</v>
      </c>
      <c r="B16">
        <v>41850</v>
      </c>
    </row>
    <row r="17" spans="1:2" x14ac:dyDescent="0.35">
      <c r="A17" s="7">
        <v>45962</v>
      </c>
      <c r="B17">
        <v>18720</v>
      </c>
    </row>
    <row r="18" spans="1:2" x14ac:dyDescent="0.35">
      <c r="A18" s="7">
        <v>45992</v>
      </c>
      <c r="B18">
        <v>27050</v>
      </c>
    </row>
    <row r="19" spans="1:2" x14ac:dyDescent="0.35">
      <c r="A19" s="6" t="s">
        <v>133</v>
      </c>
      <c r="B19">
        <v>381350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2101-47EC-4EBB-90DC-4D269ED8E76E}">
  <dimension ref="A1:S7"/>
  <sheetViews>
    <sheetView showGridLines="0" workbookViewId="0">
      <selection activeCell="L6" sqref="L6"/>
    </sheetView>
  </sheetViews>
  <sheetFormatPr defaultRowHeight="14.5" x14ac:dyDescent="0.35"/>
  <cols>
    <col min="19" max="19" width="11" customWidth="1"/>
  </cols>
  <sheetData>
    <row r="1" spans="1:19" ht="26" x14ac:dyDescent="0.6">
      <c r="A1" s="12" t="s">
        <v>135</v>
      </c>
      <c r="B1" s="13"/>
      <c r="C1" s="13"/>
      <c r="D1" s="13"/>
      <c r="E1" s="13"/>
      <c r="F1" s="13"/>
      <c r="G1" s="13"/>
      <c r="H1" s="13"/>
      <c r="I1" s="13"/>
      <c r="J1" s="13"/>
      <c r="K1" s="13"/>
      <c r="L1" s="13"/>
      <c r="M1" s="13"/>
      <c r="N1" s="13"/>
      <c r="O1" s="13"/>
      <c r="P1" s="13"/>
      <c r="Q1" s="13"/>
      <c r="R1" s="13"/>
      <c r="S1" s="13"/>
    </row>
    <row r="6" spans="1:19" ht="18.5" x14ac:dyDescent="0.45">
      <c r="G6" s="9"/>
    </row>
    <row r="7" spans="1:19" x14ac:dyDescent="0.35">
      <c r="C7" s="10"/>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AB51-0587-4E4B-BDA1-D59BC0DBA79F}">
  <dimension ref="A1:A13"/>
  <sheetViews>
    <sheetView tabSelected="1" workbookViewId="0">
      <selection activeCell="A13" sqref="A13"/>
    </sheetView>
  </sheetViews>
  <sheetFormatPr defaultRowHeight="14.5" x14ac:dyDescent="0.35"/>
  <cols>
    <col min="1" max="1" width="97.7265625" customWidth="1"/>
  </cols>
  <sheetData>
    <row r="1" spans="1:1" ht="24.5" x14ac:dyDescent="0.35">
      <c r="A1" s="14" t="s">
        <v>136</v>
      </c>
    </row>
    <row r="2" spans="1:1" ht="18" customHeight="1" x14ac:dyDescent="0.35">
      <c r="A2" s="15"/>
    </row>
    <row r="3" spans="1:1" x14ac:dyDescent="0.35">
      <c r="A3" s="16" t="s">
        <v>137</v>
      </c>
    </row>
    <row r="4" spans="1:1" x14ac:dyDescent="0.35">
      <c r="A4" s="16" t="s">
        <v>138</v>
      </c>
    </row>
    <row r="5" spans="1:1" x14ac:dyDescent="0.35">
      <c r="A5" s="16" t="s">
        <v>139</v>
      </c>
    </row>
    <row r="6" spans="1:1" x14ac:dyDescent="0.35">
      <c r="A6" s="16" t="s">
        <v>140</v>
      </c>
    </row>
    <row r="7" spans="1:1" x14ac:dyDescent="0.35">
      <c r="A7" s="16" t="s">
        <v>141</v>
      </c>
    </row>
    <row r="8" spans="1:1" x14ac:dyDescent="0.35">
      <c r="A8" s="16" t="s">
        <v>142</v>
      </c>
    </row>
    <row r="13" spans="1:1" x14ac:dyDescent="0.35">
      <c r="A13" t="s">
        <v>143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analysis</vt:lpstr>
      <vt:lpstr>sheet 1</vt:lpstr>
      <vt:lpstr>Sheet 2</vt:lpstr>
      <vt:lpstr>sheet 3</vt:lpstr>
      <vt:lpstr>sheet 4</vt:lpstr>
      <vt:lpstr>sheet 5</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kaviya k</cp:lastModifiedBy>
  <dcterms:created xsi:type="dcterms:W3CDTF">2026-09-10T14:32:32Z</dcterms:created>
  <dcterms:modified xsi:type="dcterms:W3CDTF">2026-09-12T15:38:07Z</dcterms:modified>
</cp:coreProperties>
</file>